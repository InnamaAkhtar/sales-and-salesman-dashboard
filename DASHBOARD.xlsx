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timelines/timeline7.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timelines/timeline8.xml" ContentType="application/vnd.ms-excel.timelin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293CFA2D-15F9-427B-8BA8-FB798BB5302A}" xr6:coauthVersionLast="47" xr6:coauthVersionMax="47" xr10:uidLastSave="{00000000-0000-0000-0000-000000000000}"/>
  <bookViews>
    <workbookView xWindow="-120" yWindow="-120" windowWidth="20730" windowHeight="11160" xr2:uid="{8E0097F6-70AC-434E-AE97-6ED3F5BB88F6}"/>
  </bookViews>
  <sheets>
    <sheet name="DASHBOARD" sheetId="13" r:id="rId1"/>
    <sheet name="PRODUCT" sheetId="14" r:id="rId2"/>
    <sheet name="SALE SMAN" sheetId="18" r:id="rId3"/>
    <sheet name="About" sheetId="7" state="hidden" r:id="rId4"/>
    <sheet name="salesman" sheetId="6" state="hidden" r:id="rId5"/>
    <sheet name="Products" sheetId="4" state="hidden" r:id="rId6"/>
    <sheet name="About The Projects" sheetId="20" r:id="rId7"/>
    <sheet name="Detail1" sheetId="12" state="hidden" r:id="rId8"/>
    <sheet name="PIVOT TABLE" sheetId="16" state="hidden" r:id="rId9"/>
    <sheet name="Data" sheetId="1" r:id="rId10"/>
    <sheet name="Pivot Tables" sheetId="3" state="hidden" r:id="rId11"/>
  </sheets>
  <definedNames>
    <definedName name="NativeTimeline_Date">#N/A</definedName>
    <definedName name="NativeTimeline_Date1">#N/A</definedName>
    <definedName name="Slicer_Item">#N/A</definedName>
    <definedName name="Slicer_Item1">#N/A</definedName>
    <definedName name="Slicer_Region">#N/A</definedName>
    <definedName name="Slicer_Region1">#N/A</definedName>
  </definedNames>
  <calcPr calcId="18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 i="16" l="1"/>
  <c r="T2" i="16"/>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5" i="3"/>
  <c r="B19" i="3"/>
</calcChain>
</file>

<file path=xl/sharedStrings.xml><?xml version="1.0" encoding="utf-8"?>
<sst xmlns="http://schemas.openxmlformats.org/spreadsheetml/2006/main" count="1794" uniqueCount="43">
  <si>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</si>
  <si>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</si>
  <si>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</si>
  <si>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</si>
  <si>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</si>
  <si>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</si>
  <si>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</si>
  <si>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</si>
  <si>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</si>
  <si>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</si>
  <si>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</si>
  <si>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</si>
  <si>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</si>
  <si>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</si>
  <si>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</si>
  <si>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</si>
  <si>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</si>
  <si>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</si>
  <si>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</si>
  <si>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</si>
  <si>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</si>
  <si>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</si>
  <si>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</si>
  <si>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</si>
  <si>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</si>
  <si>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</si>
  <si>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</si>
  <si>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</si>
  <si>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</si>
  <si>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</si>
  <si>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</si>
  <si>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</si>
  <si>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</si>
  <si>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</si>
  <si>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</si>
  <si>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</si>
  <si>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</si>
  <si>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</si>
  <si>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Mar</t>
  </si>
  <si>
    <t>Feb</t>
  </si>
  <si>
    <t>Jan</t>
  </si>
  <si>
    <t>Details for Sum of Amount - Region: East</t>
  </si>
  <si>
    <t>Count of Salesman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</si>
</sst>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_ * #,##0_ ;_ * \-#,##0_ ;_ * &quot;-&quot;??_ ;_ @_ "/>
  </numFmts>
  <fonts count="3" x14ac:knownFonts="1">
    <font>
      <sz val="14"/>
      <color theme="1"/>
      <name val="Calibri"/>
      <family val="2"/>
      <scheme val="minor"/>
    </font>
    <font>
      <b/>
      <sz val="14"/>
      <color theme="1"/>
      <name val="Calibri"/>
      <family val="2"/>
      <scheme val="minor"/>
    </font>
    <font>
      <b/>
      <sz val="12"/>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1" fontId="0" fillId="0" borderId="0" xfId="0" applyNumberFormat="1"/>
    <xf numFmtId="14" fontId="0" fillId="0" borderId="0" xfId="0" applyNumberFormat="1"/>
    <xf numFmtId="0" fontId="1" fillId="0" borderId="0" xfId="0" applyFont="1"/>
    <xf numFmtId="0" fontId="2" fillId="0" borderId="0" xfId="0" applyFont="1" applyAlignment="1">
      <alignment horizontal="left" vertical="center"/>
    </xf>
    <xf numFmtId="0" fontId="1" fillId="3" borderId="2" xfId="0" applyFont="1" applyFill="1" applyBorder="1"/>
    <xf numFmtId="165" fontId="0" fillId="0" borderId="0" xfId="0" applyNumberFormat="1"/>
  </cellXfs>
  <cellStyles count="1">
    <cellStyle name="Normal" xfId="0" builtinId="0"/>
  </cellStyles>
  <dxfs count="15">
    <dxf>
      <numFmt numFmtId="1" formatCode="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_ * #,##0_ ;_ * \-#,##0_ ;_ * &quot;-&quot;??_ ;_ @_ "/>
    </dxf>
    <dxf>
      <numFmt numFmtId="1" formatCode="0"/>
    </dxf>
    <dxf>
      <numFmt numFmtId="1"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03061971876686"/>
          <c:y val="0.1687762965430539"/>
          <c:w val="0.8411074950275258"/>
          <c:h val="0.59435569538049082"/>
        </c:manualLayout>
      </c:layout>
      <c:lineChart>
        <c:grouping val="standard"/>
        <c:varyColors val="0"/>
        <c:dLbls>
          <c:showLegendKey val="0"/>
          <c:showVal val="0"/>
          <c:showCatName val="0"/>
          <c:showSerName val="0"/>
          <c:showPercent val="0"/>
          <c:showBubbleSize val="0"/>
        </c:dLbls>
        <c:marker val="1"/>
        <c:smooth val="0"/>
        <c:axId val="448992608"/>
        <c:axId val="448992968"/>
      </c:lineChart>
      <c:catAx>
        <c:axId val="44899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mn-lt"/>
                <a:ea typeface="+mn-ea"/>
                <a:cs typeface="+mn-cs"/>
              </a:defRPr>
            </a:pPr>
            <a:endParaRPr lang="en-US"/>
          </a:p>
        </c:txPr>
        <c:crossAx val="448992968"/>
        <c:crosses val="autoZero"/>
        <c:auto val="1"/>
        <c:lblAlgn val="ctr"/>
        <c:lblOffset val="100"/>
        <c:noMultiLvlLbl val="0"/>
      </c:catAx>
      <c:valAx>
        <c:axId val="4489929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8992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solidFill>
            <a:round/>
          </a:ln>
          <a:effectLst>
            <a:glow>
              <a:schemeClr val="accent1">
                <a:alpha val="41000"/>
              </a:schemeClr>
            </a:glow>
            <a:outerShdw blurRad="50800" dist="25400" dir="5400000" algn="ctr" rotWithShape="0">
              <a:srgbClr val="000000">
                <a:alpha val="9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4520966323664"/>
          <c:y val="0.21360354545845703"/>
          <c:w val="0.85825077025312635"/>
          <c:h val="0.52493610429843807"/>
        </c:manualLayout>
      </c:layout>
      <c:lineChart>
        <c:grouping val="standard"/>
        <c:varyColors val="0"/>
        <c:ser>
          <c:idx val="0"/>
          <c:order val="0"/>
          <c:tx>
            <c:strRef>
              <c:f>'PIVOT TABLE'!$B$2</c:f>
              <c:strCache>
                <c:ptCount val="1"/>
                <c:pt idx="0">
                  <c:v>Total</c:v>
                </c:pt>
              </c:strCache>
            </c:strRef>
          </c:tx>
          <c:spPr>
            <a:ln w="19050" cap="rnd">
              <a:solidFill>
                <a:schemeClr val="accent1"/>
              </a:solidFill>
              <a:round/>
            </a:ln>
            <a:effectLst>
              <a:glow>
                <a:schemeClr val="accent1">
                  <a:alpha val="41000"/>
                </a:schemeClr>
              </a:glow>
              <a:outerShdw blurRad="50800" dist="25400" dir="5400000" algn="ctr" rotWithShape="0">
                <a:srgbClr val="000000">
                  <a:alpha val="98000"/>
                </a:srgbClr>
              </a:outerShdw>
            </a:effectLst>
          </c:spPr>
          <c:marker>
            <c:symbol val="none"/>
          </c:marker>
          <c:cat>
            <c:strRef>
              <c:f>'PIVOT TABLE'!$A$3:$A$14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TABLE'!$B$3:$B$14</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4-EFAF-4735-986B-9E453427F2F1}"/>
            </c:ext>
          </c:extLst>
        </c:ser>
        <c:dLbls>
          <c:showLegendKey val="0"/>
          <c:showVal val="0"/>
          <c:showCatName val="0"/>
          <c:showSerName val="0"/>
          <c:showPercent val="0"/>
          <c:showBubbleSize val="0"/>
        </c:dLbls>
        <c:smooth val="0"/>
        <c:axId val="543848992"/>
        <c:axId val="543852592"/>
      </c:lineChart>
      <c:catAx>
        <c:axId val="54384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3852592"/>
        <c:crosses val="autoZero"/>
        <c:auto val="1"/>
        <c:lblAlgn val="ctr"/>
        <c:lblOffset val="100"/>
        <c:noMultiLvlLbl val="0"/>
      </c:catAx>
      <c:valAx>
        <c:axId val="543852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38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93037736723048E-2"/>
          <c:y val="5.8479505235757595E-2"/>
          <c:w val="0.90680364258568191"/>
          <c:h val="0.80001022240170261"/>
        </c:manualLayout>
      </c:layout>
      <c:barChart>
        <c:barDir val="col"/>
        <c:grouping val="clustered"/>
        <c:varyColors val="0"/>
        <c:ser>
          <c:idx val="0"/>
          <c:order val="0"/>
          <c:tx>
            <c:strRef>
              <c:f>'PIVOT TABLE'!$J$2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TABLE'!$I$3:$I$6</c:f>
              <c:strCache>
                <c:ptCount val="4"/>
                <c:pt idx="0">
                  <c:v>East</c:v>
                </c:pt>
                <c:pt idx="1">
                  <c:v>North</c:v>
                </c:pt>
                <c:pt idx="2">
                  <c:v>South</c:v>
                </c:pt>
                <c:pt idx="3">
                  <c:v>West</c:v>
                </c:pt>
              </c:strCache>
            </c:strRef>
          </c:cat>
          <c:val>
            <c:numRef>
              <c:f>'PIVOT TABLE'!$J$3:$J$6</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4-459C-4DF6-BA24-00590A3D0B1C}"/>
            </c:ext>
          </c:extLst>
        </c:ser>
        <c:dLbls>
          <c:showLegendKey val="0"/>
          <c:showVal val="0"/>
          <c:showCatName val="0"/>
          <c:showSerName val="0"/>
          <c:showPercent val="0"/>
          <c:showBubbleSize val="0"/>
        </c:dLbls>
        <c:gapWidth val="219"/>
        <c:overlap val="-27"/>
        <c:axId val="513723976"/>
        <c:axId val="513725416"/>
      </c:barChart>
      <c:catAx>
        <c:axId val="51372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13725416"/>
        <c:crosses val="autoZero"/>
        <c:auto val="1"/>
        <c:lblAlgn val="ctr"/>
        <c:lblOffset val="100"/>
        <c:noMultiLvlLbl val="0"/>
      </c:catAx>
      <c:valAx>
        <c:axId val="513725416"/>
        <c:scaling>
          <c:orientation val="minMax"/>
        </c:scaling>
        <c:delete val="1"/>
        <c:axPos val="l"/>
        <c:numFmt formatCode="0" sourceLinked="1"/>
        <c:majorTickMark val="none"/>
        <c:minorTickMark val="none"/>
        <c:tickLblPos val="nextTo"/>
        <c:crossAx val="513723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TABLE!PivotTable12</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8918433721537"/>
          <c:y val="5.6271129365997173E-2"/>
          <c:w val="0.82640799062902859"/>
          <c:h val="0.82095549747182728"/>
        </c:manualLayout>
      </c:layout>
      <c:barChart>
        <c:barDir val="bar"/>
        <c:grouping val="clustered"/>
        <c:varyColors val="0"/>
        <c:ser>
          <c:idx val="0"/>
          <c:order val="0"/>
          <c:tx>
            <c:strRef>
              <c:f>'PIVOT TABLE'!$O$2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TABLE'!$N$3:$N$8</c:f>
              <c:strCache>
                <c:ptCount val="6"/>
                <c:pt idx="0">
                  <c:v>Keyboard</c:v>
                </c:pt>
                <c:pt idx="1">
                  <c:v>Monitor</c:v>
                </c:pt>
                <c:pt idx="2">
                  <c:v>Mouse</c:v>
                </c:pt>
                <c:pt idx="3">
                  <c:v>Printer</c:v>
                </c:pt>
                <c:pt idx="4">
                  <c:v>Scanner</c:v>
                </c:pt>
                <c:pt idx="5">
                  <c:v>Speaker</c:v>
                </c:pt>
              </c:strCache>
            </c:strRef>
          </c:cat>
          <c:val>
            <c:numRef>
              <c:f>'PIVOT TABLE'!$O$3:$O$8</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4-4E4C-4409-8610-EB93ED2AA2A0}"/>
            </c:ext>
          </c:extLst>
        </c:ser>
        <c:dLbls>
          <c:dLblPos val="outEnd"/>
          <c:showLegendKey val="0"/>
          <c:showVal val="1"/>
          <c:showCatName val="0"/>
          <c:showSerName val="0"/>
          <c:showPercent val="0"/>
          <c:showBubbleSize val="0"/>
        </c:dLbls>
        <c:gapWidth val="182"/>
        <c:axId val="543855112"/>
        <c:axId val="543856192"/>
      </c:barChart>
      <c:catAx>
        <c:axId val="543855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3856192"/>
        <c:crosses val="autoZero"/>
        <c:auto val="1"/>
        <c:lblAlgn val="ctr"/>
        <c:lblOffset val="100"/>
        <c:noMultiLvlLbl val="0"/>
      </c:catAx>
      <c:valAx>
        <c:axId val="543856192"/>
        <c:scaling>
          <c:orientation val="minMax"/>
        </c:scaling>
        <c:delete val="1"/>
        <c:axPos val="b"/>
        <c:numFmt formatCode="0.00%" sourceLinked="1"/>
        <c:majorTickMark val="none"/>
        <c:minorTickMark val="none"/>
        <c:tickLblPos val="nextTo"/>
        <c:crossAx val="543855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65651095146633"/>
          <c:y val="7.291660685973847E-2"/>
          <c:w val="0.84046009790922471"/>
          <c:h val="0.77083352129796479"/>
        </c:manualLayout>
      </c:layout>
      <c:barChart>
        <c:barDir val="bar"/>
        <c:grouping val="clustered"/>
        <c:varyColors val="0"/>
        <c:ser>
          <c:idx val="0"/>
          <c:order val="0"/>
          <c:tx>
            <c:strRef>
              <c:f>'PIVOT TABLE'!$Y$4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TABLE'!$X$5:$X$7</c:f>
              <c:strCache>
                <c:ptCount val="3"/>
                <c:pt idx="0">
                  <c:v>Monitor</c:v>
                </c:pt>
                <c:pt idx="1">
                  <c:v>Mouse</c:v>
                </c:pt>
                <c:pt idx="2">
                  <c:v>Printer</c:v>
                </c:pt>
              </c:strCache>
            </c:strRef>
          </c:cat>
          <c:val>
            <c:numRef>
              <c:f>'PIVOT TABLE'!$Y$5:$Y$7</c:f>
              <c:numCache>
                <c:formatCode>0</c:formatCode>
                <c:ptCount val="3"/>
                <c:pt idx="0">
                  <c:v>251</c:v>
                </c:pt>
                <c:pt idx="1">
                  <c:v>319</c:v>
                </c:pt>
                <c:pt idx="2">
                  <c:v>445</c:v>
                </c:pt>
              </c:numCache>
            </c:numRef>
          </c:val>
          <c:extLst>
            <c:ext xmlns:c16="http://schemas.microsoft.com/office/drawing/2014/chart" uri="{C3380CC4-5D6E-409C-BE32-E72D297353CC}">
              <c16:uniqueId val="{00000001-57F1-469A-AB60-1AFE618892B4}"/>
            </c:ext>
          </c:extLst>
        </c:ser>
        <c:dLbls>
          <c:dLblPos val="outEnd"/>
          <c:showLegendKey val="0"/>
          <c:showVal val="1"/>
          <c:showCatName val="0"/>
          <c:showSerName val="0"/>
          <c:showPercent val="0"/>
          <c:showBubbleSize val="0"/>
        </c:dLbls>
        <c:gapWidth val="182"/>
        <c:axId val="550858368"/>
        <c:axId val="550852608"/>
      </c:barChart>
      <c:catAx>
        <c:axId val="55085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50852608"/>
        <c:crosses val="autoZero"/>
        <c:auto val="1"/>
        <c:lblAlgn val="ctr"/>
        <c:lblOffset val="100"/>
        <c:noMultiLvlLbl val="0"/>
      </c:catAx>
      <c:valAx>
        <c:axId val="550852608"/>
        <c:scaling>
          <c:orientation val="minMax"/>
        </c:scaling>
        <c:delete val="1"/>
        <c:axPos val="b"/>
        <c:numFmt formatCode="0" sourceLinked="1"/>
        <c:majorTickMark val="none"/>
        <c:minorTickMark val="none"/>
        <c:tickLblPos val="nextTo"/>
        <c:crossAx val="55085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68585322183564"/>
          <c:y val="7.4829931972789115E-2"/>
          <c:w val="0.82189037416834521"/>
          <c:h val="0.74829931972789121"/>
        </c:manualLayout>
      </c:layout>
      <c:barChart>
        <c:barDir val="bar"/>
        <c:grouping val="clustered"/>
        <c:varyColors val="0"/>
        <c:ser>
          <c:idx val="0"/>
          <c:order val="0"/>
          <c:tx>
            <c:strRef>
              <c:f>'PIVOT TABLE'!$AB$2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TABLE'!$AA$3:$AA$5</c:f>
              <c:strCache>
                <c:ptCount val="3"/>
                <c:pt idx="0">
                  <c:v>Scanner</c:v>
                </c:pt>
                <c:pt idx="1">
                  <c:v>Speaker</c:v>
                </c:pt>
                <c:pt idx="2">
                  <c:v>Keyboard</c:v>
                </c:pt>
              </c:strCache>
            </c:strRef>
          </c:cat>
          <c:val>
            <c:numRef>
              <c:f>'PIVOT TABLE'!$AB$3:$AB$5</c:f>
              <c:numCache>
                <c:formatCode>0</c:formatCode>
                <c:ptCount val="3"/>
                <c:pt idx="0">
                  <c:v>242</c:v>
                </c:pt>
                <c:pt idx="1">
                  <c:v>218</c:v>
                </c:pt>
                <c:pt idx="2">
                  <c:v>132</c:v>
                </c:pt>
              </c:numCache>
            </c:numRef>
          </c:val>
          <c:extLst>
            <c:ext xmlns:c16="http://schemas.microsoft.com/office/drawing/2014/chart" uri="{C3380CC4-5D6E-409C-BE32-E72D297353CC}">
              <c16:uniqueId val="{00000001-2C32-4D61-9A30-CDA55547B3A8}"/>
            </c:ext>
          </c:extLst>
        </c:ser>
        <c:dLbls>
          <c:dLblPos val="outEnd"/>
          <c:showLegendKey val="0"/>
          <c:showVal val="1"/>
          <c:showCatName val="0"/>
          <c:showSerName val="0"/>
          <c:showPercent val="0"/>
          <c:showBubbleSize val="0"/>
        </c:dLbls>
        <c:gapWidth val="182"/>
        <c:axId val="513714256"/>
        <c:axId val="513716056"/>
      </c:barChart>
      <c:catAx>
        <c:axId val="51371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13716056"/>
        <c:crosses val="autoZero"/>
        <c:auto val="1"/>
        <c:lblAlgn val="ctr"/>
        <c:lblOffset val="100"/>
        <c:noMultiLvlLbl val="0"/>
      </c:catAx>
      <c:valAx>
        <c:axId val="513716056"/>
        <c:scaling>
          <c:orientation val="minMax"/>
        </c:scaling>
        <c:delete val="1"/>
        <c:axPos val="b"/>
        <c:numFmt formatCode="0" sourceLinked="1"/>
        <c:majorTickMark val="none"/>
        <c:minorTickMark val="none"/>
        <c:tickLblPos val="nextTo"/>
        <c:crossAx val="51371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TABLE!PivotTable17</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TABLE'!$AF$3:$AF$8</c:f>
              <c:strCache>
                <c:ptCount val="6"/>
                <c:pt idx="0">
                  <c:v>Keyboard</c:v>
                </c:pt>
                <c:pt idx="1">
                  <c:v>Monitor</c:v>
                </c:pt>
                <c:pt idx="2">
                  <c:v>Mouse</c:v>
                </c:pt>
                <c:pt idx="3">
                  <c:v>Printer</c:v>
                </c:pt>
                <c:pt idx="4">
                  <c:v>Scanner</c:v>
                </c:pt>
                <c:pt idx="5">
                  <c:v>Speaker</c:v>
                </c:pt>
              </c:strCache>
            </c:strRef>
          </c:cat>
          <c:val>
            <c:numRef>
              <c:f>'PIVOT TABLE'!$AG$3:$AG$8</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1-1410-479A-A0CE-37855100FF24}"/>
            </c:ext>
          </c:extLst>
        </c:ser>
        <c:dLbls>
          <c:dLblPos val="outEnd"/>
          <c:showLegendKey val="0"/>
          <c:showVal val="1"/>
          <c:showCatName val="0"/>
          <c:showSerName val="0"/>
          <c:showPercent val="0"/>
          <c:showBubbleSize val="0"/>
        </c:dLbls>
        <c:gapWidth val="219"/>
        <c:overlap val="-27"/>
        <c:axId val="549595192"/>
        <c:axId val="549589432"/>
      </c:barChart>
      <c:catAx>
        <c:axId val="549595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9589432"/>
        <c:crosses val="autoZero"/>
        <c:auto val="1"/>
        <c:lblAlgn val="ctr"/>
        <c:lblOffset val="100"/>
        <c:noMultiLvlLbl val="0"/>
      </c:catAx>
      <c:valAx>
        <c:axId val="549589432"/>
        <c:scaling>
          <c:orientation val="minMax"/>
        </c:scaling>
        <c:delete val="1"/>
        <c:axPos val="l"/>
        <c:numFmt formatCode="0" sourceLinked="1"/>
        <c:majorTickMark val="none"/>
        <c:minorTickMark val="none"/>
        <c:tickLblPos val="nextTo"/>
        <c:crossAx val="549595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TABLE'!$H$19:$H$21</c:f>
              <c:strCache>
                <c:ptCount val="3"/>
                <c:pt idx="0">
                  <c:v>Rohit Das</c:v>
                </c:pt>
                <c:pt idx="1">
                  <c:v>Ajit Kumar</c:v>
                </c:pt>
                <c:pt idx="2">
                  <c:v>Siddhu</c:v>
                </c:pt>
              </c:strCache>
            </c:strRef>
          </c:cat>
          <c:val>
            <c:numRef>
              <c:f>'PIVOT TABLE'!$I$19:$I$21</c:f>
              <c:numCache>
                <c:formatCode>0</c:formatCode>
                <c:ptCount val="3"/>
                <c:pt idx="0">
                  <c:v>360</c:v>
                </c:pt>
                <c:pt idx="1">
                  <c:v>394</c:v>
                </c:pt>
                <c:pt idx="2">
                  <c:v>419</c:v>
                </c:pt>
              </c:numCache>
            </c:numRef>
          </c:val>
          <c:extLst>
            <c:ext xmlns:c16="http://schemas.microsoft.com/office/drawing/2014/chart" uri="{C3380CC4-5D6E-409C-BE32-E72D297353CC}">
              <c16:uniqueId val="{00000000-37A6-442E-B616-C1615E95CD06}"/>
            </c:ext>
          </c:extLst>
        </c:ser>
        <c:dLbls>
          <c:dLblPos val="outEnd"/>
          <c:showLegendKey val="0"/>
          <c:showVal val="1"/>
          <c:showCatName val="0"/>
          <c:showSerName val="0"/>
          <c:showPercent val="0"/>
          <c:showBubbleSize val="0"/>
        </c:dLbls>
        <c:gapWidth val="182"/>
        <c:axId val="549588352"/>
        <c:axId val="549593392"/>
      </c:barChart>
      <c:catAx>
        <c:axId val="54958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9593392"/>
        <c:crosses val="autoZero"/>
        <c:auto val="1"/>
        <c:lblAlgn val="ctr"/>
        <c:lblOffset val="100"/>
        <c:noMultiLvlLbl val="0"/>
      </c:catAx>
      <c:valAx>
        <c:axId val="549593392"/>
        <c:scaling>
          <c:orientation val="minMax"/>
        </c:scaling>
        <c:delete val="1"/>
        <c:axPos val="b"/>
        <c:numFmt formatCode="0" sourceLinked="1"/>
        <c:majorTickMark val="none"/>
        <c:minorTickMark val="none"/>
        <c:tickLblPos val="nextTo"/>
        <c:crossAx val="54958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22064518797319"/>
          <c:y val="0.10945265056399063"/>
          <c:w val="0.84352683458068189"/>
          <c:h val="0.78109469887201877"/>
        </c:manualLayout>
      </c:layout>
      <c:barChart>
        <c:barDir val="bar"/>
        <c:grouping val="clustered"/>
        <c:varyColors val="0"/>
        <c:ser>
          <c:idx val="0"/>
          <c:order val="0"/>
          <c:tx>
            <c:strRef>
              <c:f>'PIVOT TABLE'!$I$26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TABLE'!$H$27:$H$29</c:f>
              <c:strCache>
                <c:ptCount val="3"/>
                <c:pt idx="0">
                  <c:v>Amit</c:v>
                </c:pt>
                <c:pt idx="1">
                  <c:v>Chandu</c:v>
                </c:pt>
                <c:pt idx="2">
                  <c:v>Ramesh</c:v>
                </c:pt>
              </c:strCache>
            </c:strRef>
          </c:cat>
          <c:val>
            <c:numRef>
              <c:f>'PIVOT TABLE'!$I$27:$I$29</c:f>
              <c:numCache>
                <c:formatCode>0</c:formatCode>
                <c:ptCount val="3"/>
                <c:pt idx="0">
                  <c:v>146</c:v>
                </c:pt>
                <c:pt idx="1">
                  <c:v>144</c:v>
                </c:pt>
                <c:pt idx="2">
                  <c:v>144</c:v>
                </c:pt>
              </c:numCache>
            </c:numRef>
          </c:val>
          <c:extLst>
            <c:ext xmlns:c16="http://schemas.microsoft.com/office/drawing/2014/chart" uri="{C3380CC4-5D6E-409C-BE32-E72D297353CC}">
              <c16:uniqueId val="{00000000-0F0E-4DDA-8EE6-AEE9884B55BA}"/>
            </c:ext>
          </c:extLst>
        </c:ser>
        <c:dLbls>
          <c:dLblPos val="outEnd"/>
          <c:showLegendKey val="0"/>
          <c:showVal val="1"/>
          <c:showCatName val="0"/>
          <c:showSerName val="0"/>
          <c:showPercent val="0"/>
          <c:showBubbleSize val="0"/>
        </c:dLbls>
        <c:gapWidth val="182"/>
        <c:axId val="550839648"/>
        <c:axId val="550841088"/>
      </c:barChart>
      <c:catAx>
        <c:axId val="55083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50841088"/>
        <c:crosses val="autoZero"/>
        <c:auto val="1"/>
        <c:lblAlgn val="ctr"/>
        <c:lblOffset val="100"/>
        <c:noMultiLvlLbl val="0"/>
      </c:catAx>
      <c:valAx>
        <c:axId val="550841088"/>
        <c:scaling>
          <c:orientation val="minMax"/>
        </c:scaling>
        <c:delete val="1"/>
        <c:axPos val="b"/>
        <c:numFmt formatCode="0" sourceLinked="1"/>
        <c:majorTickMark val="none"/>
        <c:minorTickMark val="none"/>
        <c:tickLblPos val="nextTo"/>
        <c:crossAx val="55083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9.8848007635409213E-2"/>
          <c:w val="0.93888888888888888"/>
          <c:h val="0.76599761393462185"/>
        </c:manualLayout>
      </c:layout>
      <c:barChart>
        <c:barDir val="col"/>
        <c:grouping val="clustered"/>
        <c:varyColors val="0"/>
        <c:ser>
          <c:idx val="0"/>
          <c:order val="0"/>
          <c:tx>
            <c:strRef>
              <c:f>'PIVOT TABLE'!$B$25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TABLE'!$A$26:$A$31</c:f>
              <c:strCache>
                <c:ptCount val="6"/>
                <c:pt idx="0">
                  <c:v>Ajit Kumar</c:v>
                </c:pt>
                <c:pt idx="1">
                  <c:v>Amit</c:v>
                </c:pt>
                <c:pt idx="2">
                  <c:v>Chandu</c:v>
                </c:pt>
                <c:pt idx="3">
                  <c:v>Ramesh</c:v>
                </c:pt>
                <c:pt idx="4">
                  <c:v>Rohit Das</c:v>
                </c:pt>
                <c:pt idx="5">
                  <c:v>Siddhu</c:v>
                </c:pt>
              </c:strCache>
            </c:strRef>
          </c:cat>
          <c:val>
            <c:numRef>
              <c:f>'PIVOT TABLE'!$B$26:$B$31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33AA-4C80-8F13-99684274FDBF}"/>
            </c:ext>
          </c:extLst>
        </c:ser>
        <c:dLbls>
          <c:dLblPos val="outEnd"/>
          <c:showLegendKey val="0"/>
          <c:showVal val="1"/>
          <c:showCatName val="0"/>
          <c:showSerName val="0"/>
          <c:showPercent val="0"/>
          <c:showBubbleSize val="0"/>
        </c:dLbls>
        <c:gapWidth val="219"/>
        <c:overlap val="-27"/>
        <c:axId val="550850448"/>
        <c:axId val="550861968"/>
      </c:barChart>
      <c:catAx>
        <c:axId val="5508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50861968"/>
        <c:crosses val="autoZero"/>
        <c:auto val="1"/>
        <c:lblAlgn val="ctr"/>
        <c:lblOffset val="100"/>
        <c:noMultiLvlLbl val="0"/>
      </c:catAx>
      <c:valAx>
        <c:axId val="550861968"/>
        <c:scaling>
          <c:orientation val="minMax"/>
        </c:scaling>
        <c:delete val="1"/>
        <c:axPos val="l"/>
        <c:numFmt formatCode="0" sourceLinked="1"/>
        <c:majorTickMark val="none"/>
        <c:minorTickMark val="none"/>
        <c:tickLblPos val="nextTo"/>
        <c:crossAx val="55085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184690</c:v>
                </c:pt>
                <c:pt idx="1">
                  <c:v>139880</c:v>
                </c:pt>
                <c:pt idx="2">
                  <c:v>125600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Tables'!$A$76:$A$82</c:f>
              <c:strCache>
                <c:ptCount val="6"/>
                <c:pt idx="0">
                  <c:v>Keyboard</c:v>
                </c:pt>
                <c:pt idx="1">
                  <c:v>Speaker</c:v>
                </c:pt>
                <c:pt idx="2">
                  <c:v>Scanner</c:v>
                </c:pt>
                <c:pt idx="3">
                  <c:v>Monitor</c:v>
                </c:pt>
                <c:pt idx="4">
                  <c:v>Mouse</c:v>
                </c:pt>
                <c:pt idx="5">
                  <c:v>Printer</c:v>
                </c:pt>
              </c:strCache>
            </c:strRef>
          </c:cat>
          <c:val>
            <c:numRef>
              <c:f>'Pivot Tables'!$B$76:$B$82</c:f>
              <c:numCache>
                <c:formatCode>General</c:formatCode>
                <c:ptCount val="6"/>
                <c:pt idx="0">
                  <c:v>132</c:v>
                </c:pt>
                <c:pt idx="1">
                  <c:v>218</c:v>
                </c:pt>
                <c:pt idx="2">
                  <c:v>242</c:v>
                </c:pt>
                <c:pt idx="3">
                  <c:v>251</c:v>
                </c:pt>
                <c:pt idx="4">
                  <c:v>319</c:v>
                </c:pt>
                <c:pt idx="5">
                  <c:v>445</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Scanner</c:v>
                </c:pt>
                <c:pt idx="1">
                  <c:v>Speaker</c:v>
                </c:pt>
                <c:pt idx="2">
                  <c:v>Keyboard</c:v>
                </c:pt>
              </c:strCache>
            </c:strRef>
          </c:cat>
          <c:val>
            <c:numRef>
              <c:f>'Pivot Tables'!$B$85:$B$88</c:f>
              <c:numCache>
                <c:formatCode>General</c:formatCode>
                <c:ptCount val="3"/>
                <c:pt idx="0">
                  <c:v>242</c:v>
                </c:pt>
                <c:pt idx="1">
                  <c:v>218</c:v>
                </c:pt>
                <c:pt idx="2">
                  <c:v>132</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44520966323664"/>
          <c:y val="9.3385175859074174E-2"/>
          <c:w val="0.85825077025312635"/>
          <c:h val="0.64515430613507108"/>
        </c:manualLayout>
      </c:layout>
      <c:lineChart>
        <c:grouping val="standard"/>
        <c:varyColors val="0"/>
        <c:ser>
          <c:idx val="0"/>
          <c:order val="0"/>
          <c:tx>
            <c:strRef>
              <c:f>'PIVOT TABLE'!$B$2</c:f>
              <c:strCache>
                <c:ptCount val="1"/>
                <c:pt idx="0">
                  <c:v>Total</c:v>
                </c:pt>
              </c:strCache>
            </c:strRef>
          </c:tx>
          <c:spPr>
            <a:ln w="28575" cap="rnd">
              <a:solidFill>
                <a:schemeClr val="accent1"/>
              </a:solidFill>
              <a:round/>
            </a:ln>
            <a:effectLst/>
          </c:spPr>
          <c:marker>
            <c:symbol val="none"/>
          </c:marker>
          <c:cat>
            <c:strRef>
              <c:f>'PIVOT TABLE'!$A$3:$A$14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TABLE'!$B$3:$B$14</c:f>
              <c:numCache>
                <c:formatCode>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4-B8FD-467C-B062-A2B9CD3EA853}"/>
            </c:ext>
          </c:extLst>
        </c:ser>
        <c:dLbls>
          <c:showLegendKey val="0"/>
          <c:showVal val="0"/>
          <c:showCatName val="0"/>
          <c:showSerName val="0"/>
          <c:showPercent val="0"/>
          <c:showBubbleSize val="0"/>
        </c:dLbls>
        <c:smooth val="0"/>
        <c:axId val="543848992"/>
        <c:axId val="543852592"/>
      </c:lineChart>
      <c:catAx>
        <c:axId val="54384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3852592"/>
        <c:crosses val="autoZero"/>
        <c:auto val="1"/>
        <c:lblAlgn val="ctr"/>
        <c:lblOffset val="100"/>
        <c:noMultiLvlLbl val="0"/>
      </c:catAx>
      <c:valAx>
        <c:axId val="543852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38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93037736723048E-2"/>
          <c:y val="5.8479505235757595E-2"/>
          <c:w val="0.90680364258568191"/>
          <c:h val="0.80001022240170261"/>
        </c:manualLayout>
      </c:layout>
      <c:barChart>
        <c:barDir val="col"/>
        <c:grouping val="clustered"/>
        <c:varyColors val="0"/>
        <c:ser>
          <c:idx val="0"/>
          <c:order val="0"/>
          <c:tx>
            <c:strRef>
              <c:f>'PIVOT TABLE'!$J$2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TABLE'!$I$3:$I$6</c:f>
              <c:strCache>
                <c:ptCount val="4"/>
                <c:pt idx="0">
                  <c:v>East</c:v>
                </c:pt>
                <c:pt idx="1">
                  <c:v>North</c:v>
                </c:pt>
                <c:pt idx="2">
                  <c:v>South</c:v>
                </c:pt>
                <c:pt idx="3">
                  <c:v>West</c:v>
                </c:pt>
              </c:strCache>
            </c:strRef>
          </c:cat>
          <c:val>
            <c:numRef>
              <c:f>'PIVOT TABLE'!$J$3:$J$6</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4-EEB6-467A-A2D1-71BD4FCDAE42}"/>
            </c:ext>
          </c:extLst>
        </c:ser>
        <c:dLbls>
          <c:showLegendKey val="0"/>
          <c:showVal val="0"/>
          <c:showCatName val="0"/>
          <c:showSerName val="0"/>
          <c:showPercent val="0"/>
          <c:showBubbleSize val="0"/>
        </c:dLbls>
        <c:gapWidth val="219"/>
        <c:overlap val="-27"/>
        <c:axId val="513723976"/>
        <c:axId val="513725416"/>
      </c:barChart>
      <c:catAx>
        <c:axId val="513723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13725416"/>
        <c:crosses val="autoZero"/>
        <c:auto val="1"/>
        <c:lblAlgn val="ctr"/>
        <c:lblOffset val="100"/>
        <c:noMultiLvlLbl val="0"/>
      </c:catAx>
      <c:valAx>
        <c:axId val="513725416"/>
        <c:scaling>
          <c:orientation val="minMax"/>
        </c:scaling>
        <c:delete val="1"/>
        <c:axPos val="l"/>
        <c:numFmt formatCode="0" sourceLinked="1"/>
        <c:majorTickMark val="none"/>
        <c:minorTickMark val="none"/>
        <c:tickLblPos val="nextTo"/>
        <c:crossAx val="513723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TABLE'!$N$3:$N$8</c:f>
              <c:strCache>
                <c:ptCount val="6"/>
                <c:pt idx="0">
                  <c:v>Keyboard</c:v>
                </c:pt>
                <c:pt idx="1">
                  <c:v>Monitor</c:v>
                </c:pt>
                <c:pt idx="2">
                  <c:v>Mouse</c:v>
                </c:pt>
                <c:pt idx="3">
                  <c:v>Printer</c:v>
                </c:pt>
                <c:pt idx="4">
                  <c:v>Scanner</c:v>
                </c:pt>
                <c:pt idx="5">
                  <c:v>Speaker</c:v>
                </c:pt>
              </c:strCache>
            </c:strRef>
          </c:cat>
          <c:val>
            <c:numRef>
              <c:f>'PIVOT TABLE'!$O$3:$O$8</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4-BD0F-4950-85C3-49435B710E91}"/>
            </c:ext>
          </c:extLst>
        </c:ser>
        <c:dLbls>
          <c:dLblPos val="outEnd"/>
          <c:showLegendKey val="0"/>
          <c:showVal val="1"/>
          <c:showCatName val="0"/>
          <c:showSerName val="0"/>
          <c:showPercent val="0"/>
          <c:showBubbleSize val="0"/>
        </c:dLbls>
        <c:gapWidth val="182"/>
        <c:axId val="543855112"/>
        <c:axId val="543856192"/>
      </c:barChart>
      <c:catAx>
        <c:axId val="543855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3856192"/>
        <c:crosses val="autoZero"/>
        <c:auto val="1"/>
        <c:lblAlgn val="ctr"/>
        <c:lblOffset val="100"/>
        <c:noMultiLvlLbl val="0"/>
      </c:catAx>
      <c:valAx>
        <c:axId val="543856192"/>
        <c:scaling>
          <c:orientation val="minMax"/>
        </c:scaling>
        <c:delete val="1"/>
        <c:axPos val="b"/>
        <c:numFmt formatCode="0.00%" sourceLinked="1"/>
        <c:majorTickMark val="none"/>
        <c:minorTickMark val="none"/>
        <c:tickLblPos val="nextTo"/>
        <c:crossAx val="543855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TABLE'!$Y$4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TABLE'!$X$5:$X$7</c:f>
              <c:strCache>
                <c:ptCount val="3"/>
                <c:pt idx="0">
                  <c:v>Monitor</c:v>
                </c:pt>
                <c:pt idx="1">
                  <c:v>Mouse</c:v>
                </c:pt>
                <c:pt idx="2">
                  <c:v>Printer</c:v>
                </c:pt>
              </c:strCache>
            </c:strRef>
          </c:cat>
          <c:val>
            <c:numRef>
              <c:f>'PIVOT TABLE'!$Y$5:$Y$7</c:f>
              <c:numCache>
                <c:formatCode>0</c:formatCode>
                <c:ptCount val="3"/>
                <c:pt idx="0">
                  <c:v>251</c:v>
                </c:pt>
                <c:pt idx="1">
                  <c:v>319</c:v>
                </c:pt>
                <c:pt idx="2">
                  <c:v>445</c:v>
                </c:pt>
              </c:numCache>
            </c:numRef>
          </c:val>
          <c:extLst>
            <c:ext xmlns:c16="http://schemas.microsoft.com/office/drawing/2014/chart" uri="{C3380CC4-5D6E-409C-BE32-E72D297353CC}">
              <c16:uniqueId val="{00000002-654D-4732-B3F0-FF7B5748F97E}"/>
            </c:ext>
          </c:extLst>
        </c:ser>
        <c:dLbls>
          <c:dLblPos val="outEnd"/>
          <c:showLegendKey val="0"/>
          <c:showVal val="1"/>
          <c:showCatName val="0"/>
          <c:showSerName val="0"/>
          <c:showPercent val="0"/>
          <c:showBubbleSize val="0"/>
        </c:dLbls>
        <c:gapWidth val="182"/>
        <c:axId val="550858368"/>
        <c:axId val="550852608"/>
      </c:barChart>
      <c:catAx>
        <c:axId val="55085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50852608"/>
        <c:crosses val="autoZero"/>
        <c:auto val="1"/>
        <c:lblAlgn val="ctr"/>
        <c:lblOffset val="100"/>
        <c:noMultiLvlLbl val="0"/>
      </c:catAx>
      <c:valAx>
        <c:axId val="550852608"/>
        <c:scaling>
          <c:orientation val="minMax"/>
        </c:scaling>
        <c:delete val="1"/>
        <c:axPos val="b"/>
        <c:numFmt formatCode="0" sourceLinked="1"/>
        <c:majorTickMark val="none"/>
        <c:minorTickMark val="none"/>
        <c:tickLblPos val="nextTo"/>
        <c:crossAx val="55085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TABLE'!$AA$3:$AA$5</c:f>
              <c:strCache>
                <c:ptCount val="3"/>
                <c:pt idx="0">
                  <c:v>Scanner</c:v>
                </c:pt>
                <c:pt idx="1">
                  <c:v>Speaker</c:v>
                </c:pt>
                <c:pt idx="2">
                  <c:v>Keyboard</c:v>
                </c:pt>
              </c:strCache>
            </c:strRef>
          </c:cat>
          <c:val>
            <c:numRef>
              <c:f>'PIVOT TABLE'!$AB$3:$AB$5</c:f>
              <c:numCache>
                <c:formatCode>0</c:formatCode>
                <c:ptCount val="3"/>
                <c:pt idx="0">
                  <c:v>242</c:v>
                </c:pt>
                <c:pt idx="1">
                  <c:v>218</c:v>
                </c:pt>
                <c:pt idx="2">
                  <c:v>132</c:v>
                </c:pt>
              </c:numCache>
            </c:numRef>
          </c:val>
          <c:extLst>
            <c:ext xmlns:c16="http://schemas.microsoft.com/office/drawing/2014/chart" uri="{C3380CC4-5D6E-409C-BE32-E72D297353CC}">
              <c16:uniqueId val="{00000002-F922-43E8-9F17-EB47217FB6F9}"/>
            </c:ext>
          </c:extLst>
        </c:ser>
        <c:dLbls>
          <c:dLblPos val="outEnd"/>
          <c:showLegendKey val="0"/>
          <c:showVal val="1"/>
          <c:showCatName val="0"/>
          <c:showSerName val="0"/>
          <c:showPercent val="0"/>
          <c:showBubbleSize val="0"/>
        </c:dLbls>
        <c:gapWidth val="182"/>
        <c:axId val="513714256"/>
        <c:axId val="513716056"/>
      </c:barChart>
      <c:catAx>
        <c:axId val="51371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13716056"/>
        <c:crosses val="autoZero"/>
        <c:auto val="1"/>
        <c:lblAlgn val="ctr"/>
        <c:lblOffset val="100"/>
        <c:noMultiLvlLbl val="0"/>
      </c:catAx>
      <c:valAx>
        <c:axId val="513716056"/>
        <c:scaling>
          <c:orientation val="minMax"/>
        </c:scaling>
        <c:delete val="1"/>
        <c:axPos val="b"/>
        <c:numFmt formatCode="0" sourceLinked="1"/>
        <c:majorTickMark val="none"/>
        <c:minorTickMark val="none"/>
        <c:tickLblPos val="nextTo"/>
        <c:crossAx val="51371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TABLE'!$AF$3:$AF$8</c:f>
              <c:strCache>
                <c:ptCount val="6"/>
                <c:pt idx="0">
                  <c:v>Keyboard</c:v>
                </c:pt>
                <c:pt idx="1">
                  <c:v>Monitor</c:v>
                </c:pt>
                <c:pt idx="2">
                  <c:v>Mouse</c:v>
                </c:pt>
                <c:pt idx="3">
                  <c:v>Printer</c:v>
                </c:pt>
                <c:pt idx="4">
                  <c:v>Scanner</c:v>
                </c:pt>
                <c:pt idx="5">
                  <c:v>Speaker</c:v>
                </c:pt>
              </c:strCache>
            </c:strRef>
          </c:cat>
          <c:val>
            <c:numRef>
              <c:f>'PIVOT TABLE'!$AG$3:$AG$8</c:f>
              <c:numCache>
                <c:formatCode>0</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2-CA1A-4720-B339-00872749CE87}"/>
            </c:ext>
          </c:extLst>
        </c:ser>
        <c:dLbls>
          <c:dLblPos val="outEnd"/>
          <c:showLegendKey val="0"/>
          <c:showVal val="1"/>
          <c:showCatName val="0"/>
          <c:showSerName val="0"/>
          <c:showPercent val="0"/>
          <c:showBubbleSize val="0"/>
        </c:dLbls>
        <c:gapWidth val="219"/>
        <c:overlap val="-27"/>
        <c:axId val="549595192"/>
        <c:axId val="549589432"/>
      </c:barChart>
      <c:catAx>
        <c:axId val="549595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9589432"/>
        <c:crosses val="autoZero"/>
        <c:auto val="1"/>
        <c:lblAlgn val="ctr"/>
        <c:lblOffset val="100"/>
        <c:noMultiLvlLbl val="0"/>
      </c:catAx>
      <c:valAx>
        <c:axId val="549589432"/>
        <c:scaling>
          <c:orientation val="minMax"/>
        </c:scaling>
        <c:delete val="1"/>
        <c:axPos val="l"/>
        <c:numFmt formatCode="0" sourceLinked="1"/>
        <c:majorTickMark val="none"/>
        <c:minorTickMark val="none"/>
        <c:tickLblPos val="nextTo"/>
        <c:crossAx val="549595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TABLE'!$H$19:$H$21</c:f>
              <c:strCache>
                <c:ptCount val="3"/>
                <c:pt idx="0">
                  <c:v>Rohit Das</c:v>
                </c:pt>
                <c:pt idx="1">
                  <c:v>Ajit Kumar</c:v>
                </c:pt>
                <c:pt idx="2">
                  <c:v>Siddhu</c:v>
                </c:pt>
              </c:strCache>
            </c:strRef>
          </c:cat>
          <c:val>
            <c:numRef>
              <c:f>'PIVOT TABLE'!$I$19:$I$21</c:f>
              <c:numCache>
                <c:formatCode>0</c:formatCode>
                <c:ptCount val="3"/>
                <c:pt idx="0">
                  <c:v>360</c:v>
                </c:pt>
                <c:pt idx="1">
                  <c:v>394</c:v>
                </c:pt>
                <c:pt idx="2">
                  <c:v>419</c:v>
                </c:pt>
              </c:numCache>
            </c:numRef>
          </c:val>
          <c:extLst>
            <c:ext xmlns:c16="http://schemas.microsoft.com/office/drawing/2014/chart" uri="{C3380CC4-5D6E-409C-BE32-E72D297353CC}">
              <c16:uniqueId val="{00000000-AC61-4C90-86E9-0015221B9475}"/>
            </c:ext>
          </c:extLst>
        </c:ser>
        <c:dLbls>
          <c:dLblPos val="outEnd"/>
          <c:showLegendKey val="0"/>
          <c:showVal val="1"/>
          <c:showCatName val="0"/>
          <c:showSerName val="0"/>
          <c:showPercent val="0"/>
          <c:showBubbleSize val="0"/>
        </c:dLbls>
        <c:gapWidth val="182"/>
        <c:axId val="549588352"/>
        <c:axId val="549593392"/>
      </c:barChart>
      <c:catAx>
        <c:axId val="54958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49593392"/>
        <c:crosses val="autoZero"/>
        <c:auto val="1"/>
        <c:lblAlgn val="ctr"/>
        <c:lblOffset val="100"/>
        <c:noMultiLvlLbl val="0"/>
      </c:catAx>
      <c:valAx>
        <c:axId val="549593392"/>
        <c:scaling>
          <c:orientation val="minMax"/>
        </c:scaling>
        <c:delete val="1"/>
        <c:axPos val="b"/>
        <c:numFmt formatCode="0" sourceLinked="1"/>
        <c:majorTickMark val="none"/>
        <c:minorTickMark val="none"/>
        <c:tickLblPos val="nextTo"/>
        <c:crossAx val="54958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TABLE!PivotTable19</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TABLE'!$H$27:$H$29</c:f>
              <c:strCache>
                <c:ptCount val="3"/>
                <c:pt idx="0">
                  <c:v>Amit</c:v>
                </c:pt>
                <c:pt idx="1">
                  <c:v>Chandu</c:v>
                </c:pt>
                <c:pt idx="2">
                  <c:v>Ramesh</c:v>
                </c:pt>
              </c:strCache>
            </c:strRef>
          </c:cat>
          <c:val>
            <c:numRef>
              <c:f>'PIVOT TABLE'!$I$27:$I$29</c:f>
              <c:numCache>
                <c:formatCode>0</c:formatCode>
                <c:ptCount val="3"/>
                <c:pt idx="0">
                  <c:v>146</c:v>
                </c:pt>
                <c:pt idx="1">
                  <c:v>144</c:v>
                </c:pt>
                <c:pt idx="2">
                  <c:v>144</c:v>
                </c:pt>
              </c:numCache>
            </c:numRef>
          </c:val>
          <c:extLst>
            <c:ext xmlns:c16="http://schemas.microsoft.com/office/drawing/2014/chart" uri="{C3380CC4-5D6E-409C-BE32-E72D297353CC}">
              <c16:uniqueId val="{00000000-F61B-4B64-A4F9-13B68A805E16}"/>
            </c:ext>
          </c:extLst>
        </c:ser>
        <c:dLbls>
          <c:dLblPos val="outEnd"/>
          <c:showLegendKey val="0"/>
          <c:showVal val="1"/>
          <c:showCatName val="0"/>
          <c:showSerName val="0"/>
          <c:showPercent val="0"/>
          <c:showBubbleSize val="0"/>
        </c:dLbls>
        <c:gapWidth val="182"/>
        <c:axId val="550839648"/>
        <c:axId val="550841088"/>
      </c:barChart>
      <c:catAx>
        <c:axId val="55083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50841088"/>
        <c:crosses val="autoZero"/>
        <c:auto val="1"/>
        <c:lblAlgn val="ctr"/>
        <c:lblOffset val="100"/>
        <c:noMultiLvlLbl val="0"/>
      </c:catAx>
      <c:valAx>
        <c:axId val="550841088"/>
        <c:scaling>
          <c:orientation val="minMax"/>
        </c:scaling>
        <c:delete val="1"/>
        <c:axPos val="b"/>
        <c:numFmt formatCode="0" sourceLinked="1"/>
        <c:majorTickMark val="none"/>
        <c:minorTickMark val="none"/>
        <c:tickLblPos val="nextTo"/>
        <c:crossAx val="550839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45144356955379E-3"/>
          <c:y val="8.6544981242908589E-2"/>
          <c:w val="0.93888888888888888"/>
          <c:h val="0.7999371356337035"/>
        </c:manualLayout>
      </c:layout>
      <c:barChart>
        <c:barDir val="col"/>
        <c:grouping val="clustered"/>
        <c:varyColors val="0"/>
        <c:ser>
          <c:idx val="0"/>
          <c:order val="0"/>
          <c:tx>
            <c:strRef>
              <c:f>'PIVOT TABLE'!$B$25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TABLE'!$A$26:$A$31</c:f>
              <c:strCache>
                <c:ptCount val="6"/>
                <c:pt idx="0">
                  <c:v>Ajit Kumar</c:v>
                </c:pt>
                <c:pt idx="1">
                  <c:v>Amit</c:v>
                </c:pt>
                <c:pt idx="2">
                  <c:v>Chandu</c:v>
                </c:pt>
                <c:pt idx="3">
                  <c:v>Ramesh</c:v>
                </c:pt>
                <c:pt idx="4">
                  <c:v>Rohit Das</c:v>
                </c:pt>
                <c:pt idx="5">
                  <c:v>Siddhu</c:v>
                </c:pt>
              </c:strCache>
            </c:strRef>
          </c:cat>
          <c:val>
            <c:numRef>
              <c:f>'PIVOT TABLE'!$B$26:$B$31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3AA7-4C5B-A25F-CE7465BE34C3}"/>
            </c:ext>
          </c:extLst>
        </c:ser>
        <c:dLbls>
          <c:dLblPos val="outEnd"/>
          <c:showLegendKey val="0"/>
          <c:showVal val="1"/>
          <c:showCatName val="0"/>
          <c:showSerName val="0"/>
          <c:showPercent val="0"/>
          <c:showBubbleSize val="0"/>
        </c:dLbls>
        <c:gapWidth val="219"/>
        <c:overlap val="-27"/>
        <c:axId val="550850448"/>
        <c:axId val="550861968"/>
      </c:barChart>
      <c:catAx>
        <c:axId val="5508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mn-lt"/>
                <a:ea typeface="+mn-ea"/>
                <a:cs typeface="+mn-cs"/>
              </a:defRPr>
            </a:pPr>
            <a:endParaRPr lang="en-US"/>
          </a:p>
        </c:txPr>
        <c:crossAx val="550861968"/>
        <c:crosses val="autoZero"/>
        <c:auto val="1"/>
        <c:lblAlgn val="ctr"/>
        <c:lblOffset val="100"/>
        <c:noMultiLvlLbl val="0"/>
      </c:catAx>
      <c:valAx>
        <c:axId val="550861968"/>
        <c:scaling>
          <c:orientation val="minMax"/>
        </c:scaling>
        <c:delete val="1"/>
        <c:axPos val="l"/>
        <c:numFmt formatCode="0" sourceLinked="1"/>
        <c:majorTickMark val="none"/>
        <c:minorTickMark val="none"/>
        <c:tickLblPos val="nextTo"/>
        <c:crossAx val="55085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Tables'!$B$23:$B$35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386030</c:v>
                </c:pt>
                <c:pt idx="1">
                  <c:v>394410</c:v>
                </c:pt>
                <c:pt idx="2">
                  <c:v>551960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780B27FE-E0D2-49C7-BF6A-1968D88D9F97}" type="doc">
      <dgm:prSet loTypeId="urn:microsoft.com/office/officeart/2005/8/layout/default" loCatId="list" qsTypeId="urn:microsoft.com/office/officeart/2005/8/quickstyle/3d1" qsCatId="3D" csTypeId="urn:microsoft.com/office/officeart/2005/8/colors/accent0_1" csCatId="mainScheme" phldr="1"/>
      <dgm:spPr/>
      <dgm:t>
        <a:bodyPr/>
        <a:lstStyle/>
        <a:p>
          <a:endParaRPr lang="en-IN"/>
        </a:p>
      </dgm:t>
    </dgm:pt>
    <dgm:pt modelId="{523DAFA2-3FD3-4816-B907-133455A28BE4}" type="pres">
      <dgm:prSet presAssocID="{780B27FE-E0D2-49C7-BF6A-1968D88D9F97}" presName="diagram" presStyleCnt="0">
        <dgm:presLayoutVars>
          <dgm:dir/>
          <dgm:resizeHandles val="exact"/>
        </dgm:presLayoutVars>
      </dgm:prSet>
      <dgm:spPr/>
    </dgm:pt>
  </dgm:ptLst>
  <dgm:cxnLst>
    <dgm:cxn modelId="{ADFCE492-EBF0-4CC8-A82E-577B15D7951C}" type="presOf" srcId="{780B27FE-E0D2-49C7-BF6A-1968D88D9F97}" destId="{523DAFA2-3FD3-4816-B907-133455A28BE4}" srcOrd="0" destOrd="0" presId="urn:microsoft.com/office/officeart/2005/8/layout/default"/>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041ACC63-065F-4813-B6E4-F1DFED387838}" type="doc">
      <dgm:prSet loTypeId="urn:microsoft.com/office/officeart/2005/8/layout/default" loCatId="list" qsTypeId="urn:microsoft.com/office/officeart/2005/8/quickstyle/3d2" qsCatId="3D" csTypeId="urn:microsoft.com/office/officeart/2005/8/colors/accent0_1" csCatId="mainScheme" phldr="1"/>
      <dgm:spPr/>
      <dgm:t>
        <a:bodyPr/>
        <a:lstStyle/>
        <a:p>
          <a:endParaRPr lang="en-IN"/>
        </a:p>
      </dgm:t>
    </dgm:pt>
    <dgm:pt modelId="{770F1F79-06F1-4480-83BF-DD6FB6BE5CDE}">
      <dgm:prSet phldrT="[Text]" custT="1"/>
      <dgm:spPr/>
      <dgm:t>
        <a:bodyPr/>
        <a:lstStyle/>
        <a:p>
          <a:r>
            <a:rPr lang="en-IN" sz="1600" b="1" i="1">
              <a:solidFill>
                <a:schemeClr val="accent1"/>
              </a:solidFill>
            </a:rPr>
            <a:t>SALES DASHBOARD</a:t>
          </a:r>
        </a:p>
      </dgm:t>
    </dgm:pt>
    <dgm:pt modelId="{E9D9C0A3-1BB3-46CB-925D-6954CB4F75D4}" type="parTrans" cxnId="{D8B35D83-6836-4071-8756-775A1E65F192}">
      <dgm:prSet/>
      <dgm:spPr/>
      <dgm:t>
        <a:bodyPr/>
        <a:lstStyle/>
        <a:p>
          <a:endParaRPr lang="en-IN"/>
        </a:p>
      </dgm:t>
    </dgm:pt>
    <dgm:pt modelId="{B78F9471-9DD9-40A7-A0F7-914267E104E0}" type="sibTrans" cxnId="{D8B35D83-6836-4071-8756-775A1E65F192}">
      <dgm:prSet/>
      <dgm:spPr/>
      <dgm:t>
        <a:bodyPr/>
        <a:lstStyle/>
        <a:p>
          <a:endParaRPr lang="en-IN"/>
        </a:p>
      </dgm:t>
    </dgm:pt>
    <dgm:pt modelId="{C4773757-E882-44A9-8B49-B4DDB4A229F5}" type="pres">
      <dgm:prSet presAssocID="{041ACC63-065F-4813-B6E4-F1DFED387838}" presName="diagram" presStyleCnt="0">
        <dgm:presLayoutVars>
          <dgm:dir/>
          <dgm:resizeHandles val="exact"/>
        </dgm:presLayoutVars>
      </dgm:prSet>
      <dgm:spPr/>
    </dgm:pt>
    <dgm:pt modelId="{E754A514-C40E-4366-B5B0-BAFBCCB5E22B}" type="pres">
      <dgm:prSet presAssocID="{770F1F79-06F1-4480-83BF-DD6FB6BE5CDE}" presName="node" presStyleLbl="node1" presStyleIdx="0" presStyleCnt="1" custScaleX="118793" custScaleY="90152" custLinFactNeighborX="-4927" custLinFactNeighborY="-742">
        <dgm:presLayoutVars>
          <dgm:bulletEnabled val="1"/>
        </dgm:presLayoutVars>
      </dgm:prSet>
      <dgm:spPr/>
    </dgm:pt>
  </dgm:ptLst>
  <dgm:cxnLst>
    <dgm:cxn modelId="{D8FCE52C-817D-49AB-98DE-02947CA99643}" type="presOf" srcId="{770F1F79-06F1-4480-83BF-DD6FB6BE5CDE}" destId="{E754A514-C40E-4366-B5B0-BAFBCCB5E22B}" srcOrd="0" destOrd="0" presId="urn:microsoft.com/office/officeart/2005/8/layout/default"/>
    <dgm:cxn modelId="{D8B35D83-6836-4071-8756-775A1E65F192}" srcId="{041ACC63-065F-4813-B6E4-F1DFED387838}" destId="{770F1F79-06F1-4480-83BF-DD6FB6BE5CDE}" srcOrd="0" destOrd="0" parTransId="{E9D9C0A3-1BB3-46CB-925D-6954CB4F75D4}" sibTransId="{B78F9471-9DD9-40A7-A0F7-914267E104E0}"/>
    <dgm:cxn modelId="{564AC3F2-498F-4A4E-A75A-0326F2F5C985}" type="presOf" srcId="{041ACC63-065F-4813-B6E4-F1DFED387838}" destId="{C4773757-E882-44A9-8B49-B4DDB4A229F5}" srcOrd="0" destOrd="0" presId="urn:microsoft.com/office/officeart/2005/8/layout/default"/>
    <dgm:cxn modelId="{2D19F249-02AF-4AD5-9F04-28B755063AF5}" type="presParOf" srcId="{C4773757-E882-44A9-8B49-B4DDB4A229F5}" destId="{E754A514-C40E-4366-B5B0-BAFBCCB5E22B}" srcOrd="0" destOrd="0" presId="urn:microsoft.com/office/officeart/2005/8/layout/default"/>
  </dgm:cxnLst>
  <dgm:bg/>
  <dgm:whole/>
  <dgm:extLst>
    <a:ext uri="http://schemas.microsoft.com/office/drawing/2008/diagram">
      <dsp:dataModelExt xmlns:dsp="http://schemas.microsoft.com/office/drawing/2008/diagram" relId="rId2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E754A514-C40E-4366-B5B0-BAFBCCB5E22B}">
      <dsp:nvSpPr>
        <dsp:cNvPr id="0" name=""/>
        <dsp:cNvSpPr/>
      </dsp:nvSpPr>
      <dsp:spPr>
        <a:xfrm>
          <a:off x="0" y="0"/>
          <a:ext cx="1542362" cy="702299"/>
        </a:xfrm>
        <a:prstGeom prst="rect">
          <a:avLst/>
        </a:prstGeom>
        <a:gradFill rotWithShape="0">
          <a:gsLst>
            <a:gs pos="0">
              <a:schemeClr val="lt1">
                <a:hueOff val="0"/>
                <a:satOff val="0"/>
                <a:lumOff val="0"/>
                <a:alphaOff val="0"/>
                <a:satMod val="103000"/>
                <a:lumMod val="102000"/>
                <a:tint val="94000"/>
              </a:schemeClr>
            </a:gs>
            <a:gs pos="50000">
              <a:schemeClr val="lt1">
                <a:hueOff val="0"/>
                <a:satOff val="0"/>
                <a:lumOff val="0"/>
                <a:alphaOff val="0"/>
                <a:satMod val="110000"/>
                <a:lumMod val="100000"/>
                <a:shade val="100000"/>
              </a:schemeClr>
            </a:gs>
            <a:gs pos="100000">
              <a:schemeClr val="lt1">
                <a:hueOff val="0"/>
                <a:satOff val="0"/>
                <a:lumOff val="0"/>
                <a:alphaOff val="0"/>
                <a:lumMod val="99000"/>
                <a:satMod val="120000"/>
                <a:shade val="78000"/>
              </a:schemeClr>
            </a:gs>
          </a:gsLst>
          <a:lin ang="5400000" scaled="0"/>
        </a:gra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b="1" i="1" kern="1200">
              <a:solidFill>
                <a:schemeClr val="accent1"/>
              </a:solidFill>
            </a:rPr>
            <a:t>SALES DASHBOARD</a:t>
          </a:r>
        </a:p>
      </dsp:txBody>
      <dsp:txXfrm>
        <a:off x="0" y="0"/>
        <a:ext cx="1542362" cy="702299"/>
      </dsp:txXfrm>
    </dsp:sp>
  </dsp:spTree>
</dsp:drawing>
</file>

<file path=xl/diagrams/layout1.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default">
  <dgm:title val=""/>
  <dgm:desc val=""/>
  <dgm:catLst>
    <dgm:cat type="list" pri="400"/>
  </dgm:catLst>
  <dgm:sampData>
    <dgm:dataModel>
      <dgm:ptLst>
        <dgm:pt modelId="0" type="doc"/>
        <dgm:pt modelId="1">
          <dgm:prSet phldr="1"/>
        </dgm:pt>
        <dgm:pt modelId="2">
          <dgm:prSet phldr="1"/>
        </dgm:pt>
        <dgm:pt modelId="3">
          <dgm:prSet phldr="1"/>
        </dgm:pt>
        <dgm:pt modelId="4">
          <dgm:prSet phldr="1"/>
        </dgm:pt>
        <dgm:pt modelId="5">
          <dgm:prSet phldr="1"/>
        </dgm:pt>
      </dgm:ptLst>
      <dgm:cxnLst>
        <dgm:cxn modelId="6" srcId="0" destId="1" srcOrd="0" destOrd="0"/>
        <dgm:cxn modelId="7" srcId="0" destId="2" srcOrd="1" destOrd="0"/>
        <dgm:cxn modelId="8" srcId="0" destId="3" srcOrd="2" destOrd="0"/>
        <dgm:cxn modelId="9" srcId="0" destId="4" srcOrd="3" destOrd="0"/>
        <dgm:cxn modelId="10" srcId="0" destId="5" srcOrd="4"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 modelId="5"/>
        <dgm:pt modelId="6"/>
      </dgm:ptLst>
      <dgm:cxnLst>
        <dgm:cxn modelId="7" srcId="0" destId="1" srcOrd="0" destOrd="0"/>
        <dgm:cxn modelId="8" srcId="0" destId="2" srcOrd="1" destOrd="0"/>
        <dgm:cxn modelId="9" srcId="0" destId="3" srcOrd="2" destOrd="0"/>
        <dgm:cxn modelId="10" srcId="0" destId="4" srcOrd="3" destOrd="0"/>
        <dgm:cxn modelId="11" srcId="0" destId="5" srcOrd="4" destOrd="0"/>
        <dgm:cxn modelId="12" srcId="0" destId="6" srcOrd="5" destOrd="0"/>
      </dgm:cxnLst>
      <dgm:bg/>
      <dgm:whole/>
    </dgm:dataModel>
  </dgm:clrData>
  <dgm:layoutNode name="diagram">
    <dgm:varLst>
      <dgm:dir/>
      <dgm:resizeHandles val="exact"/>
    </dgm:varLst>
    <dgm:choose name="Name0">
      <dgm:if name="Name1" func="var" arg="dir" op="equ" val="norm">
        <dgm:alg type="snake">
          <dgm:param type="grDir" val="tL"/>
          <dgm:param type="flowDir" val="row"/>
          <dgm:param type="contDir" val="sameDir"/>
          <dgm:param type="off" val="ctr"/>
        </dgm:alg>
      </dgm:if>
      <dgm:else name="Name2">
        <dgm:alg type="snake">
          <dgm:param type="grDir" val="tR"/>
          <dgm:param type="flowDir" val="row"/>
          <dgm:param type="contDir" val="sameDir"/>
          <dgm:param type="off" val="ctr"/>
        </dgm:alg>
      </dgm:else>
    </dgm:choose>
    <dgm:shape xmlns:r="http://schemas.openxmlformats.org/officeDocument/2006/relationships" r:blip="">
      <dgm:adjLst/>
    </dgm:shape>
    <dgm:presOf/>
    <dgm:constrLst>
      <dgm:constr type="w" for="ch" forName="node" refType="w"/>
      <dgm:constr type="h" for="ch" forName="node" refType="w" refFor="ch" refForName="node" fact="0.6"/>
      <dgm:constr type="w" for="ch" forName="sibTrans" refType="w" refFor="ch" refForName="node" fact="0.1"/>
      <dgm:constr type="sp" refType="w" refFor="ch" refForName="sibTrans"/>
      <dgm:constr type="primFontSz" for="ch" forName="node" op="equ" val="65"/>
    </dgm:constrLst>
    <dgm:ruleLst/>
    <dgm:forEach name="Name3" axis="ch" ptType="node">
      <dgm:layoutNode name="node">
        <dgm:varLst>
          <dgm:bulletEnabled val="1"/>
        </dgm:varLst>
        <dgm:alg type="tx"/>
        <dgm:shape xmlns:r="http://schemas.openxmlformats.org/officeDocument/2006/relationships" type="rect" r:blip="">
          <dgm:adjLst/>
        </dgm:shap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forEach name="Name4" axis="followSib" ptType="sibTrans" cnt="1">
        <dgm:layoutNode name="sibTrans">
          <dgm:alg type="sp"/>
          <dgm:shape xmlns:r="http://schemas.openxmlformats.org/officeDocument/2006/relationships" r:blip="">
            <dgm:adjLst/>
          </dgm:shape>
          <dgm:presO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hyperlink" Target="#'Dash board'!A1"/><Relationship Id="rId13" Type="http://schemas.openxmlformats.org/officeDocument/2006/relationships/chart" Target="../charts/chart3.xml"/><Relationship Id="rId18" Type="http://schemas.openxmlformats.org/officeDocument/2006/relationships/diagramQuickStyle" Target="../diagrams/quickStyle1.xml"/><Relationship Id="rId3" Type="http://schemas.openxmlformats.org/officeDocument/2006/relationships/image" Target="../media/image3.png"/><Relationship Id="rId21" Type="http://schemas.openxmlformats.org/officeDocument/2006/relationships/diagramData" Target="../diagrams/data2.xml"/><Relationship Id="rId7" Type="http://schemas.openxmlformats.org/officeDocument/2006/relationships/chart" Target="../charts/chart1.xml"/><Relationship Id="rId12" Type="http://schemas.openxmlformats.org/officeDocument/2006/relationships/chart" Target="../charts/chart2.xml"/><Relationship Id="rId17" Type="http://schemas.openxmlformats.org/officeDocument/2006/relationships/diagramLayout" Target="../diagrams/layout1.xml"/><Relationship Id="rId25" Type="http://schemas.microsoft.com/office/2007/relationships/diagramDrawing" Target="../diagrams/drawing2.xml"/><Relationship Id="rId2" Type="http://schemas.openxmlformats.org/officeDocument/2006/relationships/image" Target="../media/image2.svg"/><Relationship Id="rId16" Type="http://schemas.openxmlformats.org/officeDocument/2006/relationships/diagramData" Target="../diagrams/data1.xml"/><Relationship Id="rId20" Type="http://schemas.microsoft.com/office/2007/relationships/diagramDrawing" Target="../diagrams/drawing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About The Projects'!A1"/><Relationship Id="rId24" Type="http://schemas.openxmlformats.org/officeDocument/2006/relationships/diagramColors" Target="../diagrams/colors2.xml"/><Relationship Id="rId5" Type="http://schemas.openxmlformats.org/officeDocument/2006/relationships/image" Target="../media/image5.png"/><Relationship Id="rId15" Type="http://schemas.openxmlformats.org/officeDocument/2006/relationships/image" Target="../media/image7.png"/><Relationship Id="rId23" Type="http://schemas.openxmlformats.org/officeDocument/2006/relationships/diagramQuickStyle" Target="../diagrams/quickStyle2.xml"/><Relationship Id="rId10" Type="http://schemas.openxmlformats.org/officeDocument/2006/relationships/hyperlink" Target="#'sales man'!A1"/><Relationship Id="rId19" Type="http://schemas.openxmlformats.org/officeDocument/2006/relationships/diagramColors" Target="../diagrams/colors1.xml"/><Relationship Id="rId4" Type="http://schemas.openxmlformats.org/officeDocument/2006/relationships/image" Target="../media/image4.svg"/><Relationship Id="rId9" Type="http://schemas.openxmlformats.org/officeDocument/2006/relationships/hyperlink" Target="#Product!A1"/><Relationship Id="rId14" Type="http://schemas.openxmlformats.org/officeDocument/2006/relationships/chart" Target="../charts/chart4.xml"/><Relationship Id="rId22" Type="http://schemas.openxmlformats.org/officeDocument/2006/relationships/diagramLayout" Target="../diagrams/layou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hyperlink" Target="#'About The Projects'!A1"/><Relationship Id="rId5" Type="http://schemas.openxmlformats.org/officeDocument/2006/relationships/hyperlink" Target="#'sales man'!A1"/><Relationship Id="rId4" Type="http://schemas.openxmlformats.org/officeDocument/2006/relationships/hyperlink" Target="#'prod uct'!A1"/><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chart" Target="../charts/chart8.xml"/><Relationship Id="rId2" Type="http://schemas.openxmlformats.org/officeDocument/2006/relationships/image" Target="../media/image8.svg"/><Relationship Id="rId1" Type="http://schemas.openxmlformats.org/officeDocument/2006/relationships/image" Target="../media/image1.png"/><Relationship Id="rId6" Type="http://schemas.openxmlformats.org/officeDocument/2006/relationships/hyperlink" Target="#'About The Projects'!A1"/><Relationship Id="rId5" Type="http://schemas.openxmlformats.org/officeDocument/2006/relationships/hyperlink" Target="#'sales man'!A1"/><Relationship Id="rId10" Type="http://schemas.openxmlformats.org/officeDocument/2006/relationships/image" Target="../media/image9.png"/><Relationship Id="rId4" Type="http://schemas.openxmlformats.org/officeDocument/2006/relationships/hyperlink" Target="#Product!A1"/><Relationship Id="rId9"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11.svg"/><Relationship Id="rId5" Type="http://schemas.openxmlformats.org/officeDocument/2006/relationships/image" Target="../media/image10.png"/><Relationship Id="rId4" Type="http://schemas.openxmlformats.org/officeDocument/2006/relationships/hyperlink" Target="#About!A1"/></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hyperlink" Target="#Dashboard!A1"/><Relationship Id="rId7" Type="http://schemas.openxmlformats.org/officeDocument/2006/relationships/chart" Target="../charts/chart11.xml"/><Relationship Id="rId2"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chart" Target="../charts/chart14.xml"/><Relationship Id="rId2"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hyperlink" Target="#Product!A1"/><Relationship Id="rId2" Type="http://schemas.openxmlformats.org/officeDocument/2006/relationships/hyperlink" Target="#DashBoard!A1"/><Relationship Id="rId1" Type="http://schemas.openxmlformats.org/officeDocument/2006/relationships/image" Target="../media/image13.png"/><Relationship Id="rId5" Type="http://schemas.openxmlformats.org/officeDocument/2006/relationships/hyperlink" Target="#'sales man'!A1"/><Relationship Id="rId4" Type="http://schemas.openxmlformats.org/officeDocument/2006/relationships/hyperlink" Target="#'About us'!A1"/></Relationships>
</file>

<file path=xl/drawings/_rels/drawing8.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81894</xdr:colOff>
      <xdr:row>0</xdr:row>
      <xdr:rowOff>113713</xdr:rowOff>
    </xdr:from>
    <xdr:to>
      <xdr:col>15</xdr:col>
      <xdr:colOff>102452</xdr:colOff>
      <xdr:row>25</xdr:row>
      <xdr:rowOff>28588</xdr:rowOff>
    </xdr:to>
    <xdr:sp macro="" textlink="">
      <xdr:nvSpPr>
        <xdr:cNvPr id="2" name="Rectangle: Rounded Corners 1">
          <a:extLst>
            <a:ext uri="{FF2B5EF4-FFF2-40B4-BE49-F238E27FC236}">
              <a16:creationId xmlns:a16="http://schemas.microsoft.com/office/drawing/2014/main" id="{2BDB8262-0C25-90A8-4D2F-FA5858ADB3EF}"/>
            </a:ext>
          </a:extLst>
        </xdr:cNvPr>
        <xdr:cNvSpPr/>
      </xdr:nvSpPr>
      <xdr:spPr>
        <a:xfrm>
          <a:off x="81894" y="113713"/>
          <a:ext cx="11236246" cy="5868000"/>
        </a:xfrm>
        <a:prstGeom prst="roundRect">
          <a:avLst>
            <a:gd name="adj" fmla="val 32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940594</xdr:colOff>
      <xdr:row>0</xdr:row>
      <xdr:rowOff>229840</xdr:rowOff>
    </xdr:from>
    <xdr:to>
      <xdr:col>15</xdr:col>
      <xdr:colOff>26344</xdr:colOff>
      <xdr:row>24</xdr:row>
      <xdr:rowOff>202840</xdr:rowOff>
    </xdr:to>
    <xdr:sp macro="" textlink="">
      <xdr:nvSpPr>
        <xdr:cNvPr id="3" name="Rectangle: Rounded Corners 2">
          <a:extLst>
            <a:ext uri="{FF2B5EF4-FFF2-40B4-BE49-F238E27FC236}">
              <a16:creationId xmlns:a16="http://schemas.microsoft.com/office/drawing/2014/main" id="{A435F3DE-3479-4BBD-9B8E-75658D729BD7}"/>
            </a:ext>
          </a:extLst>
        </xdr:cNvPr>
        <xdr:cNvSpPr/>
      </xdr:nvSpPr>
      <xdr:spPr>
        <a:xfrm>
          <a:off x="1774032" y="229840"/>
          <a:ext cx="9468000" cy="5688000"/>
        </a:xfrm>
        <a:prstGeom prst="roundRect">
          <a:avLst>
            <a:gd name="adj" fmla="val 3963"/>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xdr:colOff>
      <xdr:row>10</xdr:row>
      <xdr:rowOff>38099</xdr:rowOff>
    </xdr:from>
    <xdr:to>
      <xdr:col>14</xdr:col>
      <xdr:colOff>791282</xdr:colOff>
      <xdr:row>16</xdr:row>
      <xdr:rowOff>49349</xdr:rowOff>
    </xdr:to>
    <xdr:sp macro="" textlink="">
      <xdr:nvSpPr>
        <xdr:cNvPr id="4" name="Rectangle 3">
          <a:extLst>
            <a:ext uri="{FF2B5EF4-FFF2-40B4-BE49-F238E27FC236}">
              <a16:creationId xmlns:a16="http://schemas.microsoft.com/office/drawing/2014/main" id="{76812199-4C58-6C2D-A0DF-97FCFF4AB47A}"/>
            </a:ext>
          </a:extLst>
        </xdr:cNvPr>
        <xdr:cNvSpPr/>
      </xdr:nvSpPr>
      <xdr:spPr>
        <a:xfrm>
          <a:off x="7128782" y="2419349"/>
          <a:ext cx="4140000" cy="1440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147296</xdr:colOff>
      <xdr:row>8</xdr:row>
      <xdr:rowOff>141514</xdr:rowOff>
    </xdr:from>
    <xdr:to>
      <xdr:col>5</xdr:col>
      <xdr:colOff>697366</xdr:colOff>
      <xdr:row>10</xdr:row>
      <xdr:rowOff>127567</xdr:rowOff>
    </xdr:to>
    <xdr:sp macro="" textlink="">
      <xdr:nvSpPr>
        <xdr:cNvPr id="8" name="Rectangle 7">
          <a:extLst>
            <a:ext uri="{FF2B5EF4-FFF2-40B4-BE49-F238E27FC236}">
              <a16:creationId xmlns:a16="http://schemas.microsoft.com/office/drawing/2014/main" id="{CE400250-8239-DD9E-877B-7E44D4F1C341}"/>
            </a:ext>
          </a:extLst>
        </xdr:cNvPr>
        <xdr:cNvSpPr/>
      </xdr:nvSpPr>
      <xdr:spPr>
        <a:xfrm>
          <a:off x="2205376" y="2046514"/>
          <a:ext cx="1392012" cy="4623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editAs="oneCell">
    <xdr:from>
      <xdr:col>1</xdr:col>
      <xdr:colOff>1041286</xdr:colOff>
      <xdr:row>8</xdr:row>
      <xdr:rowOff>101372</xdr:rowOff>
    </xdr:from>
    <xdr:to>
      <xdr:col>4</xdr:col>
      <xdr:colOff>182086</xdr:colOff>
      <xdr:row>9</xdr:row>
      <xdr:rowOff>226776</xdr:rowOff>
    </xdr:to>
    <xdr:pic>
      <xdr:nvPicPr>
        <xdr:cNvPr id="9" name="Graphic 8" descr="Bar chart">
          <a:extLst>
            <a:ext uri="{FF2B5EF4-FFF2-40B4-BE49-F238E27FC236}">
              <a16:creationId xmlns:a16="http://schemas.microsoft.com/office/drawing/2014/main" id="{C6DDB4E5-F62D-45C2-BF1A-0B6BB94F6F6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883228" y="2006372"/>
          <a:ext cx="356938" cy="363529"/>
        </a:xfrm>
        <a:prstGeom prst="rect">
          <a:avLst/>
        </a:prstGeom>
      </xdr:spPr>
    </xdr:pic>
    <xdr:clientData/>
  </xdr:twoCellAnchor>
  <xdr:twoCellAnchor>
    <xdr:from>
      <xdr:col>1</xdr:col>
      <xdr:colOff>1012033</xdr:colOff>
      <xdr:row>10</xdr:row>
      <xdr:rowOff>75180</xdr:rowOff>
    </xdr:from>
    <xdr:to>
      <xdr:col>5</xdr:col>
      <xdr:colOff>620827</xdr:colOff>
      <xdr:row>13</xdr:row>
      <xdr:rowOff>122805</xdr:rowOff>
    </xdr:to>
    <xdr:sp macro="" textlink="">
      <xdr:nvSpPr>
        <xdr:cNvPr id="14" name="Rectangle: Rounded Corners 13">
          <a:extLst>
            <a:ext uri="{FF2B5EF4-FFF2-40B4-BE49-F238E27FC236}">
              <a16:creationId xmlns:a16="http://schemas.microsoft.com/office/drawing/2014/main" id="{C0ABC1AE-F104-EA8B-E75E-CF1FC1C4EB66}"/>
            </a:ext>
          </a:extLst>
        </xdr:cNvPr>
        <xdr:cNvSpPr/>
      </xdr:nvSpPr>
      <xdr:spPr>
        <a:xfrm>
          <a:off x="1853975" y="2456430"/>
          <a:ext cx="1666874" cy="76200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1071562</xdr:colOff>
      <xdr:row>10</xdr:row>
      <xdr:rowOff>66677</xdr:rowOff>
    </xdr:from>
    <xdr:to>
      <xdr:col>5</xdr:col>
      <xdr:colOff>578305</xdr:colOff>
      <xdr:row>13</xdr:row>
      <xdr:rowOff>114302</xdr:rowOff>
    </xdr:to>
    <xdr:sp macro="" textlink="">
      <xdr:nvSpPr>
        <xdr:cNvPr id="15" name="Rectangle: Rounded Corners 14">
          <a:extLst>
            <a:ext uri="{FF2B5EF4-FFF2-40B4-BE49-F238E27FC236}">
              <a16:creationId xmlns:a16="http://schemas.microsoft.com/office/drawing/2014/main" id="{724AC8A7-D8A5-4E66-A50A-B003F1705180}"/>
            </a:ext>
          </a:extLst>
        </xdr:cNvPr>
        <xdr:cNvSpPr/>
      </xdr:nvSpPr>
      <xdr:spPr>
        <a:xfrm>
          <a:off x="1913504" y="2447927"/>
          <a:ext cx="1564823" cy="762000"/>
        </a:xfrm>
        <a:prstGeom prst="roundRect">
          <a:avLst>
            <a:gd name="adj" fmla="val 2001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714374</xdr:colOff>
      <xdr:row>10</xdr:row>
      <xdr:rowOff>92189</xdr:rowOff>
    </xdr:from>
    <xdr:to>
      <xdr:col>7</xdr:col>
      <xdr:colOff>714375</xdr:colOff>
      <xdr:row>13</xdr:row>
      <xdr:rowOff>139814</xdr:rowOff>
    </xdr:to>
    <xdr:sp macro="" textlink="">
      <xdr:nvSpPr>
        <xdr:cNvPr id="17" name="Rectangle: Rounded Corners 16">
          <a:extLst>
            <a:ext uri="{FF2B5EF4-FFF2-40B4-BE49-F238E27FC236}">
              <a16:creationId xmlns:a16="http://schemas.microsoft.com/office/drawing/2014/main" id="{8534C0FD-B52C-4636-B2E1-559A8A83AB7E}"/>
            </a:ext>
          </a:extLst>
        </xdr:cNvPr>
        <xdr:cNvSpPr/>
      </xdr:nvSpPr>
      <xdr:spPr>
        <a:xfrm>
          <a:off x="3614396" y="2473439"/>
          <a:ext cx="1683885" cy="7620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837518</xdr:colOff>
      <xdr:row>10</xdr:row>
      <xdr:rowOff>84705</xdr:rowOff>
    </xdr:from>
    <xdr:to>
      <xdr:col>7</xdr:col>
      <xdr:colOff>654844</xdr:colOff>
      <xdr:row>13</xdr:row>
      <xdr:rowOff>132330</xdr:rowOff>
    </xdr:to>
    <xdr:sp macro="" textlink="">
      <xdr:nvSpPr>
        <xdr:cNvPr id="18" name="Rectangle: Rounded Corners 17">
          <a:extLst>
            <a:ext uri="{FF2B5EF4-FFF2-40B4-BE49-F238E27FC236}">
              <a16:creationId xmlns:a16="http://schemas.microsoft.com/office/drawing/2014/main" id="{ADCF6499-255F-4A45-9AC1-7F3A1E06633E}"/>
            </a:ext>
          </a:extLst>
        </xdr:cNvPr>
        <xdr:cNvSpPr/>
      </xdr:nvSpPr>
      <xdr:spPr>
        <a:xfrm>
          <a:off x="3737540" y="2465955"/>
          <a:ext cx="1501210" cy="762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119063</xdr:colOff>
      <xdr:row>10</xdr:row>
      <xdr:rowOff>195409</xdr:rowOff>
    </xdr:from>
    <xdr:to>
      <xdr:col>6</xdr:col>
      <xdr:colOff>620827</xdr:colOff>
      <xdr:row>12</xdr:row>
      <xdr:rowOff>223953</xdr:rowOff>
    </xdr:to>
    <xdr:pic>
      <xdr:nvPicPr>
        <xdr:cNvPr id="19" name="Graphic 18" descr="Business Growth">
          <a:extLst>
            <a:ext uri="{FF2B5EF4-FFF2-40B4-BE49-F238E27FC236}">
              <a16:creationId xmlns:a16="http://schemas.microsoft.com/office/drawing/2014/main" id="{5E6776D6-6DA4-4760-9BC4-80E738C897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861027" y="2576659"/>
          <a:ext cx="501764" cy="504794"/>
        </a:xfrm>
        <a:prstGeom prst="rect">
          <a:avLst/>
        </a:prstGeom>
      </xdr:spPr>
    </xdr:pic>
    <xdr:clientData/>
  </xdr:twoCellAnchor>
  <xdr:twoCellAnchor editAs="oneCell">
    <xdr:from>
      <xdr:col>1</xdr:col>
      <xdr:colOff>1090613</xdr:colOff>
      <xdr:row>10</xdr:row>
      <xdr:rowOff>192882</xdr:rowOff>
    </xdr:from>
    <xdr:to>
      <xdr:col>4</xdr:col>
      <xdr:colOff>409620</xdr:colOff>
      <xdr:row>12</xdr:row>
      <xdr:rowOff>212612</xdr:rowOff>
    </xdr:to>
    <xdr:pic>
      <xdr:nvPicPr>
        <xdr:cNvPr id="20" name="Graphic 19" descr="Rupee">
          <a:extLst>
            <a:ext uri="{FF2B5EF4-FFF2-40B4-BE49-F238E27FC236}">
              <a16:creationId xmlns:a16="http://schemas.microsoft.com/office/drawing/2014/main" id="{6842BF23-AC7D-4D36-BBB7-42C66A52CE2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932555" y="2574132"/>
          <a:ext cx="535145" cy="495980"/>
        </a:xfrm>
        <a:prstGeom prst="rect">
          <a:avLst/>
        </a:prstGeom>
      </xdr:spPr>
    </xdr:pic>
    <xdr:clientData/>
  </xdr:twoCellAnchor>
  <xdr:twoCellAnchor>
    <xdr:from>
      <xdr:col>10</xdr:col>
      <xdr:colOff>64294</xdr:colOff>
      <xdr:row>11</xdr:row>
      <xdr:rowOff>123825</xdr:rowOff>
    </xdr:from>
    <xdr:to>
      <xdr:col>14</xdr:col>
      <xdr:colOff>762544</xdr:colOff>
      <xdr:row>16</xdr:row>
      <xdr:rowOff>61912</xdr:rowOff>
    </xdr:to>
    <xdr:graphicFrame macro="">
      <xdr:nvGraphicFramePr>
        <xdr:cNvPr id="21" name="Chart 20">
          <a:extLst>
            <a:ext uri="{FF2B5EF4-FFF2-40B4-BE49-F238E27FC236}">
              <a16:creationId xmlns:a16="http://schemas.microsoft.com/office/drawing/2014/main" id="{A2FAE0E5-99F8-4891-A133-50A5EEB3C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33677</xdr:colOff>
      <xdr:row>10</xdr:row>
      <xdr:rowOff>57149</xdr:rowOff>
    </xdr:from>
    <xdr:to>
      <xdr:col>11</xdr:col>
      <xdr:colOff>626469</xdr:colOff>
      <xdr:row>11</xdr:row>
      <xdr:rowOff>123824</xdr:rowOff>
    </xdr:to>
    <xdr:sp macro="" textlink="">
      <xdr:nvSpPr>
        <xdr:cNvPr id="23" name="Rectangle: Rounded Corners 22">
          <a:extLst>
            <a:ext uri="{FF2B5EF4-FFF2-40B4-BE49-F238E27FC236}">
              <a16:creationId xmlns:a16="http://schemas.microsoft.com/office/drawing/2014/main" id="{CD46E92A-0122-43D1-AEE2-AE2589B6E337}"/>
            </a:ext>
          </a:extLst>
        </xdr:cNvPr>
        <xdr:cNvSpPr/>
      </xdr:nvSpPr>
      <xdr:spPr>
        <a:xfrm>
          <a:off x="7143409" y="2438399"/>
          <a:ext cx="1434734"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 :</a:t>
          </a:r>
        </a:p>
      </xdr:txBody>
    </xdr:sp>
    <xdr:clientData/>
  </xdr:twoCellAnchor>
  <xdr:twoCellAnchor>
    <xdr:from>
      <xdr:col>10</xdr:col>
      <xdr:colOff>39121</xdr:colOff>
      <xdr:row>16</xdr:row>
      <xdr:rowOff>199004</xdr:rowOff>
    </xdr:from>
    <xdr:to>
      <xdr:col>14</xdr:col>
      <xdr:colOff>624418</xdr:colOff>
      <xdr:row>24</xdr:row>
      <xdr:rowOff>95250</xdr:rowOff>
    </xdr:to>
    <xdr:sp macro="" textlink="">
      <xdr:nvSpPr>
        <xdr:cNvPr id="24" name="Rectangle 23">
          <a:extLst>
            <a:ext uri="{FF2B5EF4-FFF2-40B4-BE49-F238E27FC236}">
              <a16:creationId xmlns:a16="http://schemas.microsoft.com/office/drawing/2014/main" id="{CA67F659-5609-F916-D74A-EC652186ABA8}"/>
            </a:ext>
          </a:extLst>
        </xdr:cNvPr>
        <xdr:cNvSpPr/>
      </xdr:nvSpPr>
      <xdr:spPr>
        <a:xfrm>
          <a:off x="7108788" y="4093671"/>
          <a:ext cx="3929630" cy="184357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85725</xdr:colOff>
      <xdr:row>16</xdr:row>
      <xdr:rowOff>200025</xdr:rowOff>
    </xdr:from>
    <xdr:to>
      <xdr:col>11</xdr:col>
      <xdr:colOff>685799</xdr:colOff>
      <xdr:row>21</xdr:row>
      <xdr:rowOff>180975</xdr:rowOff>
    </xdr:to>
    <xdr:sp macro="" textlink="">
      <xdr:nvSpPr>
        <xdr:cNvPr id="35" name="Rectangle 34">
          <a:extLst>
            <a:ext uri="{FF2B5EF4-FFF2-40B4-BE49-F238E27FC236}">
              <a16:creationId xmlns:a16="http://schemas.microsoft.com/office/drawing/2014/main" id="{9C3C7762-EE84-E0B1-E6D0-3343450FBFFA}"/>
            </a:ext>
          </a:extLst>
        </xdr:cNvPr>
        <xdr:cNvSpPr/>
      </xdr:nvSpPr>
      <xdr:spPr>
        <a:xfrm>
          <a:off x="7172325" y="4010025"/>
          <a:ext cx="1438274" cy="1171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Sale</a:t>
          </a:r>
          <a:r>
            <a:rPr lang="en-IN" sz="1200" b="1" baseline="0">
              <a:solidFill>
                <a:schemeClr val="tx1"/>
              </a:solidFill>
            </a:rPr>
            <a:t> By Region :</a:t>
          </a:r>
          <a:endParaRPr lang="en-IN" sz="1200" b="1">
            <a:solidFill>
              <a:schemeClr val="tx1"/>
            </a:solidFill>
          </a:endParaRPr>
        </a:p>
      </xdr:txBody>
    </xdr:sp>
    <xdr:clientData/>
  </xdr:twoCellAnchor>
  <xdr:twoCellAnchor>
    <xdr:from>
      <xdr:col>1</xdr:col>
      <xdr:colOff>1035845</xdr:colOff>
      <xdr:row>14</xdr:row>
      <xdr:rowOff>30956</xdr:rowOff>
    </xdr:from>
    <xdr:to>
      <xdr:col>9</xdr:col>
      <xdr:colOff>601929</xdr:colOff>
      <xdr:row>24</xdr:row>
      <xdr:rowOff>70114</xdr:rowOff>
    </xdr:to>
    <xdr:sp macro="" textlink="">
      <xdr:nvSpPr>
        <xdr:cNvPr id="37" name="Rectangle: Rounded Corners 36">
          <a:extLst>
            <a:ext uri="{FF2B5EF4-FFF2-40B4-BE49-F238E27FC236}">
              <a16:creationId xmlns:a16="http://schemas.microsoft.com/office/drawing/2014/main" id="{0A2AE9A0-C1F8-769B-A0C7-C52F404236FB}"/>
            </a:ext>
          </a:extLst>
        </xdr:cNvPr>
        <xdr:cNvSpPr/>
      </xdr:nvSpPr>
      <xdr:spPr>
        <a:xfrm>
          <a:off x="1869283" y="3364706"/>
          <a:ext cx="4947709" cy="2420408"/>
        </a:xfrm>
        <a:prstGeom prst="roundRect">
          <a:avLst>
            <a:gd name="adj" fmla="val 38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1066800</xdr:colOff>
      <xdr:row>14</xdr:row>
      <xdr:rowOff>76200</xdr:rowOff>
    </xdr:from>
    <xdr:to>
      <xdr:col>6</xdr:col>
      <xdr:colOff>133349</xdr:colOff>
      <xdr:row>18</xdr:row>
      <xdr:rowOff>85725</xdr:rowOff>
    </xdr:to>
    <xdr:sp macro="" textlink="">
      <xdr:nvSpPr>
        <xdr:cNvPr id="41" name="Rectangle 40">
          <a:extLst>
            <a:ext uri="{FF2B5EF4-FFF2-40B4-BE49-F238E27FC236}">
              <a16:creationId xmlns:a16="http://schemas.microsoft.com/office/drawing/2014/main" id="{D72DBFA5-05FB-50BB-32CA-A717682F8F34}"/>
            </a:ext>
          </a:extLst>
        </xdr:cNvPr>
        <xdr:cNvSpPr/>
      </xdr:nvSpPr>
      <xdr:spPr>
        <a:xfrm>
          <a:off x="1905000" y="3409950"/>
          <a:ext cx="1962149" cy="9620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Sale By Products</a:t>
          </a:r>
          <a:r>
            <a:rPr lang="en-IN" sz="1200" b="1" baseline="0">
              <a:solidFill>
                <a:schemeClr val="tx1"/>
              </a:solidFill>
            </a:rPr>
            <a:t> :</a:t>
          </a:r>
          <a:r>
            <a:rPr lang="en-IN" sz="1100" baseline="0"/>
            <a:t>:</a:t>
          </a:r>
          <a:endParaRPr lang="en-IN" sz="1100"/>
        </a:p>
      </xdr:txBody>
    </xdr:sp>
    <xdr:clientData/>
  </xdr:twoCellAnchor>
  <xdr:twoCellAnchor>
    <xdr:from>
      <xdr:col>0</xdr:col>
      <xdr:colOff>245608</xdr:colOff>
      <xdr:row>7</xdr:row>
      <xdr:rowOff>112600</xdr:rowOff>
    </xdr:from>
    <xdr:to>
      <xdr:col>1</xdr:col>
      <xdr:colOff>864733</xdr:colOff>
      <xdr:row>9</xdr:row>
      <xdr:rowOff>36400</xdr:rowOff>
    </xdr:to>
    <xdr:sp macro="" textlink="">
      <xdr:nvSpPr>
        <xdr:cNvPr id="43" name="Rectangle: Rounded Corners 42">
          <a:hlinkClick xmlns:r="http://schemas.openxmlformats.org/officeDocument/2006/relationships" r:id="rId8"/>
          <a:extLst>
            <a:ext uri="{FF2B5EF4-FFF2-40B4-BE49-F238E27FC236}">
              <a16:creationId xmlns:a16="http://schemas.microsoft.com/office/drawing/2014/main" id="{0F121551-73FE-766E-A9B9-3A56EF219771}"/>
            </a:ext>
          </a:extLst>
        </xdr:cNvPr>
        <xdr:cNvSpPr/>
      </xdr:nvSpPr>
      <xdr:spPr>
        <a:xfrm>
          <a:off x="245608" y="1779475"/>
          <a:ext cx="1461067" cy="40005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baseline="0">
              <a:solidFill>
                <a:schemeClr val="accent1"/>
              </a:solidFill>
            </a:rPr>
            <a:t>  DASHBOARD</a:t>
          </a:r>
          <a:endParaRPr lang="en-IN" sz="1400" b="1" i="1">
            <a:solidFill>
              <a:schemeClr val="accent1"/>
            </a:solidFill>
          </a:endParaRPr>
        </a:p>
      </xdr:txBody>
    </xdr:sp>
    <xdr:clientData/>
  </xdr:twoCellAnchor>
  <xdr:twoCellAnchor>
    <xdr:from>
      <xdr:col>0</xdr:col>
      <xdr:colOff>245609</xdr:colOff>
      <xdr:row>9</xdr:row>
      <xdr:rowOff>165328</xdr:rowOff>
    </xdr:from>
    <xdr:to>
      <xdr:col>1</xdr:col>
      <xdr:colOff>855209</xdr:colOff>
      <xdr:row>11</xdr:row>
      <xdr:rowOff>108178</xdr:rowOff>
    </xdr:to>
    <xdr:sp macro="" textlink="">
      <xdr:nvSpPr>
        <xdr:cNvPr id="44" name="Rectangle: Rounded Corners 43">
          <a:hlinkClick xmlns:r="http://schemas.openxmlformats.org/officeDocument/2006/relationships" r:id="rId9"/>
          <a:extLst>
            <a:ext uri="{FF2B5EF4-FFF2-40B4-BE49-F238E27FC236}">
              <a16:creationId xmlns:a16="http://schemas.microsoft.com/office/drawing/2014/main" id="{365DB965-7FBB-4E3D-8534-5B41745CCB74}"/>
            </a:ext>
          </a:extLst>
        </xdr:cNvPr>
        <xdr:cNvSpPr/>
      </xdr:nvSpPr>
      <xdr:spPr>
        <a:xfrm>
          <a:off x="245609" y="2308453"/>
          <a:ext cx="1451542" cy="4191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solidFill>
                <a:schemeClr val="bg1"/>
              </a:solidFill>
            </a:rPr>
            <a:t>   </a:t>
          </a:r>
          <a:r>
            <a:rPr lang="en-IN" sz="1400" b="1" i="1" baseline="0">
              <a:solidFill>
                <a:schemeClr val="bg1"/>
              </a:solidFill>
            </a:rPr>
            <a:t>PRODUCTS</a:t>
          </a:r>
          <a:endParaRPr lang="en-IN" sz="1400" b="1" i="1">
            <a:solidFill>
              <a:schemeClr val="bg1"/>
            </a:solidFill>
          </a:endParaRPr>
        </a:p>
      </xdr:txBody>
    </xdr:sp>
    <xdr:clientData/>
  </xdr:twoCellAnchor>
  <xdr:twoCellAnchor>
    <xdr:from>
      <xdr:col>0</xdr:col>
      <xdr:colOff>243568</xdr:colOff>
      <xdr:row>12</xdr:row>
      <xdr:rowOff>5442</xdr:rowOff>
    </xdr:from>
    <xdr:to>
      <xdr:col>1</xdr:col>
      <xdr:colOff>853168</xdr:colOff>
      <xdr:row>13</xdr:row>
      <xdr:rowOff>186417</xdr:rowOff>
    </xdr:to>
    <xdr:sp macro="" textlink="">
      <xdr:nvSpPr>
        <xdr:cNvPr id="45" name="Rectangle: Rounded Corners 44">
          <a:hlinkClick xmlns:r="http://schemas.openxmlformats.org/officeDocument/2006/relationships" r:id="rId10"/>
          <a:extLst>
            <a:ext uri="{FF2B5EF4-FFF2-40B4-BE49-F238E27FC236}">
              <a16:creationId xmlns:a16="http://schemas.microsoft.com/office/drawing/2014/main" id="{7BA158A9-F738-4E34-9048-3E9B67193D9B}"/>
            </a:ext>
          </a:extLst>
        </xdr:cNvPr>
        <xdr:cNvSpPr/>
      </xdr:nvSpPr>
      <xdr:spPr>
        <a:xfrm>
          <a:off x="243568" y="2862942"/>
          <a:ext cx="1451542" cy="419100"/>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baseline="0">
              <a:solidFill>
                <a:schemeClr val="bg1"/>
              </a:solidFill>
            </a:rPr>
            <a:t>   </a:t>
          </a:r>
          <a:r>
            <a:rPr lang="en-IN" sz="1400" b="1" i="1" baseline="0">
              <a:solidFill>
                <a:schemeClr val="bg1"/>
              </a:solidFill>
            </a:rPr>
            <a:t>SALESMANS</a:t>
          </a:r>
          <a:endParaRPr lang="en-IN" sz="1400" b="1" i="1">
            <a:solidFill>
              <a:schemeClr val="bg1"/>
            </a:solidFill>
          </a:endParaRPr>
        </a:p>
      </xdr:txBody>
    </xdr:sp>
    <xdr:clientData/>
  </xdr:twoCellAnchor>
  <xdr:twoCellAnchor>
    <xdr:from>
      <xdr:col>0</xdr:col>
      <xdr:colOff>224517</xdr:colOff>
      <xdr:row>14</xdr:row>
      <xdr:rowOff>84704</xdr:rowOff>
    </xdr:from>
    <xdr:to>
      <xdr:col>1</xdr:col>
      <xdr:colOff>834117</xdr:colOff>
      <xdr:row>16</xdr:row>
      <xdr:rowOff>229620</xdr:rowOff>
    </xdr:to>
    <xdr:sp macro="" textlink="">
      <xdr:nvSpPr>
        <xdr:cNvPr id="46" name="Rectangle: Rounded Corners 45">
          <a:hlinkClick xmlns:r="http://schemas.openxmlformats.org/officeDocument/2006/relationships" r:id="rId11"/>
          <a:extLst>
            <a:ext uri="{FF2B5EF4-FFF2-40B4-BE49-F238E27FC236}">
              <a16:creationId xmlns:a16="http://schemas.microsoft.com/office/drawing/2014/main" id="{4C3D4204-E12C-47CC-B009-2CEFEFA0DC8C}"/>
            </a:ext>
          </a:extLst>
        </xdr:cNvPr>
        <xdr:cNvSpPr/>
      </xdr:nvSpPr>
      <xdr:spPr>
        <a:xfrm>
          <a:off x="224517" y="3418454"/>
          <a:ext cx="1451542" cy="621166"/>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bg1">
                  <a:lumMod val="95000"/>
                </a:schemeClr>
              </a:solidFill>
            </a:rPr>
            <a:t>  </a:t>
          </a:r>
          <a:r>
            <a:rPr lang="en-IN" sz="1400" b="1" i="1" baseline="0">
              <a:solidFill>
                <a:schemeClr val="bg1">
                  <a:lumMod val="95000"/>
                </a:schemeClr>
              </a:solidFill>
            </a:rPr>
            <a:t>ABOUT  THE PROJECTS</a:t>
          </a:r>
          <a:endParaRPr lang="en-IN" sz="1400" b="1" i="1">
            <a:solidFill>
              <a:schemeClr val="bg1">
                <a:lumMod val="95000"/>
              </a:schemeClr>
            </a:solidFill>
          </a:endParaRPr>
        </a:p>
      </xdr:txBody>
    </xdr:sp>
    <xdr:clientData/>
  </xdr:twoCellAnchor>
  <xdr:twoCellAnchor>
    <xdr:from>
      <xdr:col>4</xdr:col>
      <xdr:colOff>268401</xdr:colOff>
      <xdr:row>11</xdr:row>
      <xdr:rowOff>142196</xdr:rowOff>
    </xdr:from>
    <xdr:to>
      <xdr:col>6</xdr:col>
      <xdr:colOff>17010</xdr:colOff>
      <xdr:row>13</xdr:row>
      <xdr:rowOff>42522</xdr:rowOff>
    </xdr:to>
    <xdr:sp macro="" textlink="">
      <xdr:nvSpPr>
        <xdr:cNvPr id="12" name="Rectangle 11">
          <a:extLst>
            <a:ext uri="{FF2B5EF4-FFF2-40B4-BE49-F238E27FC236}">
              <a16:creationId xmlns:a16="http://schemas.microsoft.com/office/drawing/2014/main" id="{3ED13D76-0B04-D0A7-A626-3CCECC348B6E}"/>
            </a:ext>
          </a:extLst>
        </xdr:cNvPr>
        <xdr:cNvSpPr/>
      </xdr:nvSpPr>
      <xdr:spPr>
        <a:xfrm>
          <a:off x="2326481" y="2761571"/>
          <a:ext cx="1432493" cy="3765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1">
              <a:solidFill>
                <a:schemeClr val="tx1"/>
              </a:solidFill>
            </a:rPr>
            <a:t>Total</a:t>
          </a:r>
          <a:r>
            <a:rPr lang="en-IN" sz="1400" b="1" i="1">
              <a:solidFill>
                <a:schemeClr val="tx1"/>
              </a:solidFill>
            </a:rPr>
            <a:t> </a:t>
          </a:r>
          <a:r>
            <a:rPr lang="en-IN" sz="1200" b="1" i="1">
              <a:solidFill>
                <a:schemeClr val="tx1"/>
              </a:solidFill>
            </a:rPr>
            <a:t>Amount</a:t>
          </a:r>
        </a:p>
      </xdr:txBody>
    </xdr:sp>
    <xdr:clientData/>
  </xdr:twoCellAnchor>
  <xdr:twoCellAnchor>
    <xdr:from>
      <xdr:col>6</xdr:col>
      <xdr:colOff>533398</xdr:colOff>
      <xdr:row>11</xdr:row>
      <xdr:rowOff>147297</xdr:rowOff>
    </xdr:from>
    <xdr:to>
      <xdr:col>7</xdr:col>
      <xdr:colOff>782409</xdr:colOff>
      <xdr:row>14</xdr:row>
      <xdr:rowOff>8504</xdr:rowOff>
    </xdr:to>
    <xdr:sp macro="" textlink="">
      <xdr:nvSpPr>
        <xdr:cNvPr id="13" name="Rectangle 12">
          <a:extLst>
            <a:ext uri="{FF2B5EF4-FFF2-40B4-BE49-F238E27FC236}">
              <a16:creationId xmlns:a16="http://schemas.microsoft.com/office/drawing/2014/main" id="{DF013FD4-F735-76A6-15AA-3D19B50381DF}"/>
            </a:ext>
          </a:extLst>
        </xdr:cNvPr>
        <xdr:cNvSpPr/>
      </xdr:nvSpPr>
      <xdr:spPr>
        <a:xfrm>
          <a:off x="4275362" y="2766672"/>
          <a:ext cx="1090953" cy="57558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1">
              <a:solidFill>
                <a:schemeClr val="tx1"/>
              </a:solidFill>
            </a:rPr>
            <a:t>Total</a:t>
          </a:r>
          <a:r>
            <a:rPr lang="en-IN" sz="1400" b="1" i="1">
              <a:solidFill>
                <a:schemeClr val="tx1"/>
              </a:solidFill>
            </a:rPr>
            <a:t> </a:t>
          </a:r>
          <a:r>
            <a:rPr lang="en-IN" sz="1200" b="1" i="1">
              <a:solidFill>
                <a:schemeClr val="tx1"/>
              </a:solidFill>
            </a:rPr>
            <a:t>Sales</a:t>
          </a:r>
        </a:p>
      </xdr:txBody>
    </xdr:sp>
    <xdr:clientData/>
  </xdr:twoCellAnchor>
  <xdr:twoCellAnchor editAs="oneCell">
    <xdr:from>
      <xdr:col>1</xdr:col>
      <xdr:colOff>1025297</xdr:colOff>
      <xdr:row>5</xdr:row>
      <xdr:rowOff>31637</xdr:rowOff>
    </xdr:from>
    <xdr:to>
      <xdr:col>14</xdr:col>
      <xdr:colOff>713739</xdr:colOff>
      <xdr:row>8</xdr:row>
      <xdr:rowOff>37262</xdr:rowOff>
    </xdr:to>
    <mc:AlternateContent xmlns:mc="http://schemas.openxmlformats.org/markup-compatibility/2006" xmlns:a14="http://schemas.microsoft.com/office/drawing/2010/main">
      <mc:Choice Requires="a14">
        <xdr:graphicFrame macro="">
          <xdr:nvGraphicFramePr>
            <xdr:cNvPr id="25" name="Item 9">
              <a:extLst>
                <a:ext uri="{FF2B5EF4-FFF2-40B4-BE49-F238E27FC236}">
                  <a16:creationId xmlns:a16="http://schemas.microsoft.com/office/drawing/2014/main" id="{A97A5A52-E13E-4069-9023-A8F82E91CAEC}"/>
                </a:ext>
              </a:extLst>
            </xdr:cNvPr>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mlns="">
        <xdr:sp macro="" textlink="">
          <xdr:nvSpPr>
            <xdr:cNvPr id="0" name=""/>
            <xdr:cNvSpPr>
              <a:spLocks noTextEdit="1"/>
            </xdr:cNvSpPr>
          </xdr:nvSpPr>
          <xdr:spPr>
            <a:xfrm>
              <a:off x="1858735" y="1222262"/>
              <a:ext cx="9237254"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609600</xdr:colOff>
      <xdr:row>1</xdr:row>
      <xdr:rowOff>66676</xdr:rowOff>
    </xdr:from>
    <xdr:to>
      <xdr:col>14</xdr:col>
      <xdr:colOff>711774</xdr:colOff>
      <xdr:row>4</xdr:row>
      <xdr:rowOff>180301</xdr:rowOff>
    </xdr:to>
    <mc:AlternateContent xmlns:mc="http://schemas.openxmlformats.org/markup-compatibility/2006" xmlns:a14="http://schemas.microsoft.com/office/drawing/2010/main">
      <mc:Choice Requires="a14">
        <xdr:graphicFrame macro="">
          <xdr:nvGraphicFramePr>
            <xdr:cNvPr id="27" name="Region 9">
              <a:extLst>
                <a:ext uri="{FF2B5EF4-FFF2-40B4-BE49-F238E27FC236}">
                  <a16:creationId xmlns:a16="http://schemas.microsoft.com/office/drawing/2014/main" id="{CEDF84EC-5BD1-4A1F-B585-335896DEFC8E}"/>
                </a:ext>
              </a:extLst>
            </xdr:cNvPr>
            <xdr:cNvGraphicFramePr/>
          </xdr:nvGraphicFramePr>
          <xdr:xfrm>
            <a:off x="0" y="0"/>
            <a:ext cx="0" cy="0"/>
          </xdr:xfrm>
          <a:graphic>
            <a:graphicData uri="http://schemas.microsoft.com/office/drawing/2010/slicer">
              <sle:slicer xmlns:sle="http://schemas.microsoft.com/office/drawing/2010/slicer" name="Region 9"/>
            </a:graphicData>
          </a:graphic>
        </xdr:graphicFrame>
      </mc:Choice>
      <mc:Fallback xmlns="">
        <xdr:sp macro="" textlink="">
          <xdr:nvSpPr>
            <xdr:cNvPr id="0" name=""/>
            <xdr:cNvSpPr>
              <a:spLocks noTextEdit="1"/>
            </xdr:cNvSpPr>
          </xdr:nvSpPr>
          <xdr:spPr>
            <a:xfrm>
              <a:off x="8491538" y="304801"/>
              <a:ext cx="2602486"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1076326</xdr:colOff>
      <xdr:row>1</xdr:row>
      <xdr:rowOff>66674</xdr:rowOff>
    </xdr:from>
    <xdr:to>
      <xdr:col>11</xdr:col>
      <xdr:colOff>482594</xdr:colOff>
      <xdr:row>4</xdr:row>
      <xdr:rowOff>180299</xdr:rowOff>
    </xdr:to>
    <mc:AlternateContent xmlns:mc="http://schemas.openxmlformats.org/markup-compatibility/2006" xmlns:tsle="http://schemas.microsoft.com/office/drawing/2012/timeslicer">
      <mc:Choice Requires="tsle">
        <xdr:graphicFrame macro="">
          <xdr:nvGraphicFramePr>
            <xdr:cNvPr id="29" name="Date 10">
              <a:extLst>
                <a:ext uri="{FF2B5EF4-FFF2-40B4-BE49-F238E27FC236}">
                  <a16:creationId xmlns:a16="http://schemas.microsoft.com/office/drawing/2014/main" id="{3BBD72BF-6BE2-43C2-8C42-272E165E5373}"/>
                </a:ext>
              </a:extLst>
            </xdr:cNvPr>
            <xdr:cNvGraphicFramePr/>
          </xdr:nvGraphicFramePr>
          <xdr:xfrm>
            <a:off x="0" y="0"/>
            <a:ext cx="0" cy="0"/>
          </xdr:xfrm>
          <a:graphic>
            <a:graphicData uri="http://schemas.microsoft.com/office/drawing/2012/timeslicer">
              <tsle:timeslicer name="Date 10"/>
            </a:graphicData>
          </a:graphic>
        </xdr:graphicFrame>
      </mc:Choice>
      <mc:Fallback xmlns="">
        <xdr:sp macro="" textlink="">
          <xdr:nvSpPr>
            <xdr:cNvPr id="0" name=""/>
            <xdr:cNvSpPr>
              <a:spLocks noTextEdit="1"/>
            </xdr:cNvSpPr>
          </xdr:nvSpPr>
          <xdr:spPr>
            <a:xfrm>
              <a:off x="1918268" y="304799"/>
              <a:ext cx="6516000" cy="82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88106</xdr:colOff>
      <xdr:row>11</xdr:row>
      <xdr:rowOff>62936</xdr:rowOff>
    </xdr:from>
    <xdr:to>
      <xdr:col>14</xdr:col>
      <xdr:colOff>786356</xdr:colOff>
      <xdr:row>16</xdr:row>
      <xdr:rowOff>63617</xdr:rowOff>
    </xdr:to>
    <xdr:graphicFrame macro="">
      <xdr:nvGraphicFramePr>
        <xdr:cNvPr id="31" name="Chart 30">
          <a:extLst>
            <a:ext uri="{FF2B5EF4-FFF2-40B4-BE49-F238E27FC236}">
              <a16:creationId xmlns:a16="http://schemas.microsoft.com/office/drawing/2014/main" id="{D9D56AF5-1B08-4FA2-A2DB-93740598E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65654</xdr:colOff>
      <xdr:row>18</xdr:row>
      <xdr:rowOff>63955</xdr:rowOff>
    </xdr:from>
    <xdr:to>
      <xdr:col>14</xdr:col>
      <xdr:colOff>508001</xdr:colOff>
      <xdr:row>24</xdr:row>
      <xdr:rowOff>63501</xdr:rowOff>
    </xdr:to>
    <xdr:graphicFrame macro="">
      <xdr:nvGraphicFramePr>
        <xdr:cNvPr id="32" name="Chart 31">
          <a:extLst>
            <a:ext uri="{FF2B5EF4-FFF2-40B4-BE49-F238E27FC236}">
              <a16:creationId xmlns:a16="http://schemas.microsoft.com/office/drawing/2014/main" id="{C3601003-47EF-4262-8C14-ECDCF22C1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1076325</xdr:colOff>
      <xdr:row>15</xdr:row>
      <xdr:rowOff>104775</xdr:rowOff>
    </xdr:from>
    <xdr:to>
      <xdr:col>9</xdr:col>
      <xdr:colOff>518584</xdr:colOff>
      <xdr:row>24</xdr:row>
      <xdr:rowOff>63500</xdr:rowOff>
    </xdr:to>
    <xdr:graphicFrame macro="">
      <xdr:nvGraphicFramePr>
        <xdr:cNvPr id="33" name="Chart 32">
          <a:extLst>
            <a:ext uri="{FF2B5EF4-FFF2-40B4-BE49-F238E27FC236}">
              <a16:creationId xmlns:a16="http://schemas.microsoft.com/office/drawing/2014/main" id="{A3EDF70D-02CA-4673-8A42-93C6338F1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350383</xdr:colOff>
      <xdr:row>10</xdr:row>
      <xdr:rowOff>126208</xdr:rowOff>
    </xdr:from>
    <xdr:to>
      <xdr:col>6</xdr:col>
      <xdr:colOff>474209</xdr:colOff>
      <xdr:row>13</xdr:row>
      <xdr:rowOff>183357</xdr:rowOff>
    </xdr:to>
    <xdr:sp macro="" textlink="'PIVOT TABLE'!$T$2">
      <xdr:nvSpPr>
        <xdr:cNvPr id="34" name="Rectangle 33">
          <a:extLst>
            <a:ext uri="{FF2B5EF4-FFF2-40B4-BE49-F238E27FC236}">
              <a16:creationId xmlns:a16="http://schemas.microsoft.com/office/drawing/2014/main" id="{C1DA163E-90ED-3415-AEFD-9AEB8939150A}"/>
            </a:ext>
          </a:extLst>
        </xdr:cNvPr>
        <xdr:cNvSpPr/>
      </xdr:nvSpPr>
      <xdr:spPr>
        <a:xfrm>
          <a:off x="2408463" y="2507458"/>
          <a:ext cx="1807710" cy="7715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39EB27-91AA-480B-BBC4-880FCA1B47BB}" type="TxLink">
            <a:rPr lang="en-US" sz="1400" b="1" i="0" u="none" strike="noStrike">
              <a:solidFill>
                <a:srgbClr val="000000"/>
              </a:solidFill>
              <a:latin typeface="Calibri"/>
              <a:cs typeface="Calibri"/>
            </a:rPr>
            <a:pPr algn="l"/>
            <a:t>17,82,570</a:t>
          </a:fld>
          <a:endParaRPr lang="en-IN" sz="1400" b="1"/>
        </a:p>
      </xdr:txBody>
    </xdr:sp>
    <xdr:clientData/>
  </xdr:twoCellAnchor>
  <xdr:twoCellAnchor>
    <xdr:from>
      <xdr:col>6</xdr:col>
      <xdr:colOff>667431</xdr:colOff>
      <xdr:row>10</xdr:row>
      <xdr:rowOff>168729</xdr:rowOff>
    </xdr:from>
    <xdr:to>
      <xdr:col>8</xdr:col>
      <xdr:colOff>29256</xdr:colOff>
      <xdr:row>12</xdr:row>
      <xdr:rowOff>159204</xdr:rowOff>
    </xdr:to>
    <xdr:sp macro="" textlink="'PIVOT TABLE'!$W$2">
      <xdr:nvSpPr>
        <xdr:cNvPr id="39" name="Rectangle 38">
          <a:extLst>
            <a:ext uri="{FF2B5EF4-FFF2-40B4-BE49-F238E27FC236}">
              <a16:creationId xmlns:a16="http://schemas.microsoft.com/office/drawing/2014/main" id="{0931CF61-DA75-13A9-C292-515F314E892F}"/>
            </a:ext>
          </a:extLst>
        </xdr:cNvPr>
        <xdr:cNvSpPr/>
      </xdr:nvSpPr>
      <xdr:spPr>
        <a:xfrm>
          <a:off x="4409395" y="2549979"/>
          <a:ext cx="1045709" cy="466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3A62987-2026-42EB-8F3F-1E3349682786}" type="TxLink">
            <a:rPr lang="en-US" sz="1600" b="1" i="0" u="none" strike="noStrike">
              <a:solidFill>
                <a:srgbClr val="000000"/>
              </a:solidFill>
              <a:latin typeface="Calibri"/>
              <a:cs typeface="Calibri"/>
            </a:rPr>
            <a:pPr algn="l"/>
            <a:t>366</a:t>
          </a:fld>
          <a:endParaRPr lang="en-IN" sz="1600" b="1"/>
        </a:p>
      </xdr:txBody>
    </xdr:sp>
    <xdr:clientData/>
  </xdr:twoCellAnchor>
  <xdr:twoCellAnchor>
    <xdr:from>
      <xdr:col>0</xdr:col>
      <xdr:colOff>340785</xdr:colOff>
      <xdr:row>22</xdr:row>
      <xdr:rowOff>50006</xdr:rowOff>
    </xdr:from>
    <xdr:to>
      <xdr:col>1</xdr:col>
      <xdr:colOff>883710</xdr:colOff>
      <xdr:row>24</xdr:row>
      <xdr:rowOff>107154</xdr:rowOff>
    </xdr:to>
    <xdr:sp macro="" textlink="">
      <xdr:nvSpPr>
        <xdr:cNvPr id="40" name="Rectangle 39">
          <a:extLst>
            <a:ext uri="{FF2B5EF4-FFF2-40B4-BE49-F238E27FC236}">
              <a16:creationId xmlns:a16="http://schemas.microsoft.com/office/drawing/2014/main" id="{5B693F10-9824-46E2-1EB1-A4EF86F789E9}"/>
            </a:ext>
          </a:extLst>
        </xdr:cNvPr>
        <xdr:cNvSpPr/>
      </xdr:nvSpPr>
      <xdr:spPr>
        <a:xfrm>
          <a:off x="340785" y="5288756"/>
          <a:ext cx="1376363" cy="53339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Created By</a:t>
          </a:r>
          <a:r>
            <a:rPr lang="en-IN" sz="1100" b="1" i="1" baseline="0"/>
            <a:t> :</a:t>
          </a:r>
        </a:p>
        <a:p>
          <a:pPr algn="l"/>
          <a:r>
            <a:rPr lang="en-IN" sz="1100" b="1" i="1" baseline="0"/>
            <a:t>INNAMA AKHTAR</a:t>
          </a:r>
          <a:endParaRPr lang="en-IN" sz="1100" b="1" i="1"/>
        </a:p>
      </xdr:txBody>
    </xdr:sp>
    <xdr:clientData/>
  </xdr:twoCellAnchor>
  <xdr:twoCellAnchor>
    <xdr:from>
      <xdr:col>7</xdr:col>
      <xdr:colOff>790915</xdr:colOff>
      <xdr:row>10</xdr:row>
      <xdr:rowOff>59532</xdr:rowOff>
    </xdr:from>
    <xdr:to>
      <xdr:col>9</xdr:col>
      <xdr:colOff>671853</xdr:colOff>
      <xdr:row>13</xdr:row>
      <xdr:rowOff>173157</xdr:rowOff>
    </xdr:to>
    <xdr:sp macro="" textlink="">
      <xdr:nvSpPr>
        <xdr:cNvPr id="5" name="Rectangle: Rounded Corners 4">
          <a:extLst>
            <a:ext uri="{FF2B5EF4-FFF2-40B4-BE49-F238E27FC236}">
              <a16:creationId xmlns:a16="http://schemas.microsoft.com/office/drawing/2014/main" id="{11A7385D-35C0-3E16-0767-55BC45C0A4A1}"/>
            </a:ext>
          </a:extLst>
        </xdr:cNvPr>
        <xdr:cNvSpPr/>
      </xdr:nvSpPr>
      <xdr:spPr>
        <a:xfrm>
          <a:off x="5374821" y="2440782"/>
          <a:ext cx="1564822" cy="8280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51027</xdr:colOff>
      <xdr:row>10</xdr:row>
      <xdr:rowOff>67356</xdr:rowOff>
    </xdr:from>
    <xdr:to>
      <xdr:col>9</xdr:col>
      <xdr:colOff>613085</xdr:colOff>
      <xdr:row>13</xdr:row>
      <xdr:rowOff>180981</xdr:rowOff>
    </xdr:to>
    <xdr:sp macro="" textlink="">
      <xdr:nvSpPr>
        <xdr:cNvPr id="6" name="Rectangle: Rounded Corners 5">
          <a:extLst>
            <a:ext uri="{FF2B5EF4-FFF2-40B4-BE49-F238E27FC236}">
              <a16:creationId xmlns:a16="http://schemas.microsoft.com/office/drawing/2014/main" id="{FA80E798-ED71-4515-BE8F-CF561A99CD21}"/>
            </a:ext>
          </a:extLst>
        </xdr:cNvPr>
        <xdr:cNvSpPr/>
      </xdr:nvSpPr>
      <xdr:spPr>
        <a:xfrm>
          <a:off x="5476875" y="2448606"/>
          <a:ext cx="1404000" cy="828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TTT</a:t>
          </a:r>
        </a:p>
      </xdr:txBody>
    </xdr:sp>
    <xdr:clientData/>
  </xdr:twoCellAnchor>
  <xdr:oneCellAnchor>
    <xdr:from>
      <xdr:col>8</xdr:col>
      <xdr:colOff>620824</xdr:colOff>
      <xdr:row>11</xdr:row>
      <xdr:rowOff>187099</xdr:rowOff>
    </xdr:from>
    <xdr:ext cx="820225" cy="280205"/>
    <xdr:sp macro="" textlink="">
      <xdr:nvSpPr>
        <xdr:cNvPr id="7" name="TextBox 6">
          <a:extLst>
            <a:ext uri="{FF2B5EF4-FFF2-40B4-BE49-F238E27FC236}">
              <a16:creationId xmlns:a16="http://schemas.microsoft.com/office/drawing/2014/main" id="{F1962CD3-4C88-3DE8-2ECE-BD24E8774E28}"/>
            </a:ext>
          </a:extLst>
        </xdr:cNvPr>
        <xdr:cNvSpPr txBox="1"/>
      </xdr:nvSpPr>
      <xdr:spPr>
        <a:xfrm>
          <a:off x="6046672" y="2806474"/>
          <a:ext cx="8202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i="1"/>
            <a:t>Total</a:t>
          </a:r>
          <a:r>
            <a:rPr lang="en-IN" sz="1200" b="1" i="1" baseline="0"/>
            <a:t> Qty.</a:t>
          </a:r>
          <a:endParaRPr lang="en-IN" sz="1200" b="1" i="1"/>
        </a:p>
      </xdr:txBody>
    </xdr:sp>
    <xdr:clientData/>
  </xdr:oneCellAnchor>
  <xdr:oneCellAnchor>
    <xdr:from>
      <xdr:col>8</xdr:col>
      <xdr:colOff>697364</xdr:colOff>
      <xdr:row>10</xdr:row>
      <xdr:rowOff>187099</xdr:rowOff>
    </xdr:from>
    <xdr:ext cx="676083" cy="311496"/>
    <xdr:sp macro="" textlink="'PIVOT TABLE'!X12">
      <xdr:nvSpPr>
        <xdr:cNvPr id="10" name="TextBox 9">
          <a:extLst>
            <a:ext uri="{FF2B5EF4-FFF2-40B4-BE49-F238E27FC236}">
              <a16:creationId xmlns:a16="http://schemas.microsoft.com/office/drawing/2014/main" id="{D41CBD8F-A32B-3F9E-17D4-2E6A4A21EF0C}"/>
            </a:ext>
          </a:extLst>
        </xdr:cNvPr>
        <xdr:cNvSpPr txBox="1"/>
      </xdr:nvSpPr>
      <xdr:spPr>
        <a:xfrm>
          <a:off x="6123212" y="2568349"/>
          <a:ext cx="6760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4180E10-490D-4092-947E-947ACF2260E4}" type="TxLink">
            <a:rPr lang="en-US" sz="1400" b="1" i="0" u="none" strike="noStrike">
              <a:solidFill>
                <a:srgbClr val="000000"/>
              </a:solidFill>
              <a:latin typeface="Calibri"/>
              <a:cs typeface="Calibri"/>
            </a:rPr>
            <a:pPr/>
            <a:t> 1,607 </a:t>
          </a:fld>
          <a:endParaRPr lang="en-IN" sz="1100" b="1"/>
        </a:p>
      </xdr:txBody>
    </xdr:sp>
    <xdr:clientData/>
  </xdr:oneCellAnchor>
  <xdr:twoCellAnchor editAs="oneCell">
    <xdr:from>
      <xdr:col>8</xdr:col>
      <xdr:colOff>151805</xdr:colOff>
      <xdr:row>11</xdr:row>
      <xdr:rowOff>42525</xdr:rowOff>
    </xdr:from>
    <xdr:to>
      <xdr:col>8</xdr:col>
      <xdr:colOff>612323</xdr:colOff>
      <xdr:row>12</xdr:row>
      <xdr:rowOff>151960</xdr:rowOff>
    </xdr:to>
    <xdr:pic>
      <xdr:nvPicPr>
        <xdr:cNvPr id="16" name="Picture 15">
          <a:extLst>
            <a:ext uri="{FF2B5EF4-FFF2-40B4-BE49-F238E27FC236}">
              <a16:creationId xmlns:a16="http://schemas.microsoft.com/office/drawing/2014/main" id="{F58F401F-0085-3CD8-C44D-B5147295880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577653" y="2661900"/>
          <a:ext cx="460518" cy="347560"/>
        </a:xfrm>
        <a:prstGeom prst="rect">
          <a:avLst/>
        </a:prstGeom>
      </xdr:spPr>
    </xdr:pic>
    <xdr:clientData/>
  </xdr:twoCellAnchor>
  <xdr:twoCellAnchor>
    <xdr:from>
      <xdr:col>0</xdr:col>
      <xdr:colOff>129270</xdr:colOff>
      <xdr:row>1</xdr:row>
      <xdr:rowOff>76540</xdr:rowOff>
    </xdr:from>
    <xdr:to>
      <xdr:col>1</xdr:col>
      <xdr:colOff>918482</xdr:colOff>
      <xdr:row>4</xdr:row>
      <xdr:rowOff>85045</xdr:rowOff>
    </xdr:to>
    <xdr:graphicFrame macro="">
      <xdr:nvGraphicFramePr>
        <xdr:cNvPr id="26" name="Diagram 25">
          <a:extLst>
            <a:ext uri="{FF2B5EF4-FFF2-40B4-BE49-F238E27FC236}">
              <a16:creationId xmlns:a16="http://schemas.microsoft.com/office/drawing/2014/main" id="{CA4024D7-4D27-10B0-97E4-B8B3F32CBFA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0</xdr:col>
      <xdr:colOff>205808</xdr:colOff>
      <xdr:row>1</xdr:row>
      <xdr:rowOff>27384</xdr:rowOff>
    </xdr:from>
    <xdr:to>
      <xdr:col>1</xdr:col>
      <xdr:colOff>909977</xdr:colOff>
      <xdr:row>4</xdr:row>
      <xdr:rowOff>17009</xdr:rowOff>
    </xdr:to>
    <xdr:graphicFrame macro="">
      <xdr:nvGraphicFramePr>
        <xdr:cNvPr id="11" name="Diagram 10">
          <a:extLst>
            <a:ext uri="{FF2B5EF4-FFF2-40B4-BE49-F238E27FC236}">
              <a16:creationId xmlns:a16="http://schemas.microsoft.com/office/drawing/2014/main" id="{CE3CD971-3147-8907-B1CA-6A7F78F6B84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1" r:lo="rId22" r:qs="rId23" r:cs="rId2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0</xdr:row>
      <xdr:rowOff>133351</xdr:rowOff>
    </xdr:from>
    <xdr:to>
      <xdr:col>16</xdr:col>
      <xdr:colOff>228599</xdr:colOff>
      <xdr:row>24</xdr:row>
      <xdr:rowOff>152401</xdr:rowOff>
    </xdr:to>
    <xdr:sp macro="" textlink="">
      <xdr:nvSpPr>
        <xdr:cNvPr id="2" name="Rectangle: Rounded Corners 1">
          <a:extLst>
            <a:ext uri="{FF2B5EF4-FFF2-40B4-BE49-F238E27FC236}">
              <a16:creationId xmlns:a16="http://schemas.microsoft.com/office/drawing/2014/main" id="{EFFF7EEC-DA68-4029-8639-5955ED54CF18}"/>
            </a:ext>
          </a:extLst>
        </xdr:cNvPr>
        <xdr:cNvSpPr/>
      </xdr:nvSpPr>
      <xdr:spPr>
        <a:xfrm>
          <a:off x="133350" y="133351"/>
          <a:ext cx="12211049" cy="5734050"/>
        </a:xfrm>
        <a:prstGeom prst="roundRect">
          <a:avLst>
            <a:gd name="adj" fmla="val 5052"/>
          </a:avLst>
        </a:prstGeom>
        <a:solidFill>
          <a:schemeClr val="accent5">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895350</xdr:colOff>
      <xdr:row>0</xdr:row>
      <xdr:rowOff>219075</xdr:rowOff>
    </xdr:from>
    <xdr:to>
      <xdr:col>16</xdr:col>
      <xdr:colOff>133350</xdr:colOff>
      <xdr:row>24</xdr:row>
      <xdr:rowOff>9525</xdr:rowOff>
    </xdr:to>
    <xdr:sp macro="" textlink="">
      <xdr:nvSpPr>
        <xdr:cNvPr id="3" name="Rectangle: Rounded Corners 2">
          <a:extLst>
            <a:ext uri="{FF2B5EF4-FFF2-40B4-BE49-F238E27FC236}">
              <a16:creationId xmlns:a16="http://schemas.microsoft.com/office/drawing/2014/main" id="{48E5B634-735B-46C0-88EC-24E96C832598}"/>
            </a:ext>
          </a:extLst>
        </xdr:cNvPr>
        <xdr:cNvSpPr/>
      </xdr:nvSpPr>
      <xdr:spPr>
        <a:xfrm>
          <a:off x="1733550" y="219075"/>
          <a:ext cx="10515600" cy="5505450"/>
        </a:xfrm>
        <a:prstGeom prst="roundRect">
          <a:avLst>
            <a:gd name="adj" fmla="val 3963"/>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vv</a:t>
          </a:r>
        </a:p>
      </xdr:txBody>
    </xdr:sp>
    <xdr:clientData/>
  </xdr:twoCellAnchor>
  <xdr:twoCellAnchor>
    <xdr:from>
      <xdr:col>10</xdr:col>
      <xdr:colOff>19050</xdr:colOff>
      <xdr:row>10</xdr:row>
      <xdr:rowOff>38099</xdr:rowOff>
    </xdr:from>
    <xdr:to>
      <xdr:col>16</xdr:col>
      <xdr:colOff>38100</xdr:colOff>
      <xdr:row>16</xdr:row>
      <xdr:rowOff>76200</xdr:rowOff>
    </xdr:to>
    <xdr:sp macro="" textlink="">
      <xdr:nvSpPr>
        <xdr:cNvPr id="4" name="Rectangle 3">
          <a:extLst>
            <a:ext uri="{FF2B5EF4-FFF2-40B4-BE49-F238E27FC236}">
              <a16:creationId xmlns:a16="http://schemas.microsoft.com/office/drawing/2014/main" id="{27961C8E-BB1C-4774-A0C4-970BE94C9338}"/>
            </a:ext>
          </a:extLst>
        </xdr:cNvPr>
        <xdr:cNvSpPr/>
      </xdr:nvSpPr>
      <xdr:spPr>
        <a:xfrm>
          <a:off x="7105650" y="2419349"/>
          <a:ext cx="5048250" cy="14668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104775</xdr:colOff>
      <xdr:row>8</xdr:row>
      <xdr:rowOff>209550</xdr:rowOff>
    </xdr:from>
    <xdr:to>
      <xdr:col>6</xdr:col>
      <xdr:colOff>723901</xdr:colOff>
      <xdr:row>13</xdr:row>
      <xdr:rowOff>133349</xdr:rowOff>
    </xdr:to>
    <xdr:sp macro="" textlink="">
      <xdr:nvSpPr>
        <xdr:cNvPr id="8" name="Rectangle 7">
          <a:extLst>
            <a:ext uri="{FF2B5EF4-FFF2-40B4-BE49-F238E27FC236}">
              <a16:creationId xmlns:a16="http://schemas.microsoft.com/office/drawing/2014/main" id="{251AC656-59E9-4A25-B7B3-A6DBAD38B379}"/>
            </a:ext>
          </a:extLst>
        </xdr:cNvPr>
        <xdr:cNvSpPr/>
      </xdr:nvSpPr>
      <xdr:spPr>
        <a:xfrm>
          <a:off x="2162175" y="2114550"/>
          <a:ext cx="2295526" cy="11144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editAs="oneCell">
    <xdr:from>
      <xdr:col>1</xdr:col>
      <xdr:colOff>1066799</xdr:colOff>
      <xdr:row>8</xdr:row>
      <xdr:rowOff>152399</xdr:rowOff>
    </xdr:from>
    <xdr:to>
      <xdr:col>4</xdr:col>
      <xdr:colOff>207599</xdr:colOff>
      <xdr:row>10</xdr:row>
      <xdr:rowOff>39678</xdr:rowOff>
    </xdr:to>
    <xdr:pic>
      <xdr:nvPicPr>
        <xdr:cNvPr id="9" name="Graphic 8" descr="Bar chart">
          <a:extLst>
            <a:ext uri="{FF2B5EF4-FFF2-40B4-BE49-F238E27FC236}">
              <a16:creationId xmlns:a16="http://schemas.microsoft.com/office/drawing/2014/main" id="{082EFE99-6736-41B1-9B4C-7AA35C5FAA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04999" y="2057399"/>
          <a:ext cx="360000" cy="363529"/>
        </a:xfrm>
        <a:prstGeom prst="rect">
          <a:avLst/>
        </a:prstGeom>
      </xdr:spPr>
    </xdr:pic>
    <xdr:clientData/>
  </xdr:twoCellAnchor>
  <xdr:twoCellAnchor>
    <xdr:from>
      <xdr:col>10</xdr:col>
      <xdr:colOff>76200</xdr:colOff>
      <xdr:row>10</xdr:row>
      <xdr:rowOff>57150</xdr:rowOff>
    </xdr:from>
    <xdr:to>
      <xdr:col>12</xdr:col>
      <xdr:colOff>361950</xdr:colOff>
      <xdr:row>11</xdr:row>
      <xdr:rowOff>123825</xdr:rowOff>
    </xdr:to>
    <xdr:sp macro="" textlink="">
      <xdr:nvSpPr>
        <xdr:cNvPr id="17" name="Rectangle: Rounded Corners 16">
          <a:extLst>
            <a:ext uri="{FF2B5EF4-FFF2-40B4-BE49-F238E27FC236}">
              <a16:creationId xmlns:a16="http://schemas.microsoft.com/office/drawing/2014/main" id="{44C0DAA5-DFE7-4733-92E7-C9EE81D2A0D5}"/>
            </a:ext>
          </a:extLst>
        </xdr:cNvPr>
        <xdr:cNvSpPr/>
      </xdr:nvSpPr>
      <xdr:spPr>
        <a:xfrm>
          <a:off x="7162800" y="2438400"/>
          <a:ext cx="1962150"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Top</a:t>
          </a:r>
          <a:r>
            <a:rPr lang="en-US" sz="1200" b="1" baseline="0">
              <a:solidFill>
                <a:schemeClr val="tx1"/>
              </a:solidFill>
            </a:rPr>
            <a:t> 3 Selling product</a:t>
          </a:r>
          <a:r>
            <a:rPr lang="en-US" sz="1200" b="1">
              <a:solidFill>
                <a:schemeClr val="tx1"/>
              </a:solidFill>
            </a:rPr>
            <a:t> :</a:t>
          </a:r>
        </a:p>
      </xdr:txBody>
    </xdr:sp>
    <xdr:clientData/>
  </xdr:twoCellAnchor>
  <xdr:twoCellAnchor>
    <xdr:from>
      <xdr:col>10</xdr:col>
      <xdr:colOff>47624</xdr:colOff>
      <xdr:row>16</xdr:row>
      <xdr:rowOff>190500</xdr:rowOff>
    </xdr:from>
    <xdr:to>
      <xdr:col>16</xdr:col>
      <xdr:colOff>66675</xdr:colOff>
      <xdr:row>23</xdr:row>
      <xdr:rowOff>76200</xdr:rowOff>
    </xdr:to>
    <xdr:sp macro="" textlink="">
      <xdr:nvSpPr>
        <xdr:cNvPr id="18" name="Rectangle 17">
          <a:extLst>
            <a:ext uri="{FF2B5EF4-FFF2-40B4-BE49-F238E27FC236}">
              <a16:creationId xmlns:a16="http://schemas.microsoft.com/office/drawing/2014/main" id="{6C965134-312E-445D-91C3-0CC38139A7BE}"/>
            </a:ext>
          </a:extLst>
        </xdr:cNvPr>
        <xdr:cNvSpPr/>
      </xdr:nvSpPr>
      <xdr:spPr>
        <a:xfrm>
          <a:off x="7134224" y="4000500"/>
          <a:ext cx="5048251" cy="15525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10</xdr:col>
      <xdr:colOff>85724</xdr:colOff>
      <xdr:row>16</xdr:row>
      <xdr:rowOff>200025</xdr:rowOff>
    </xdr:from>
    <xdr:to>
      <xdr:col>12</xdr:col>
      <xdr:colOff>590549</xdr:colOff>
      <xdr:row>21</xdr:row>
      <xdr:rowOff>180975</xdr:rowOff>
    </xdr:to>
    <xdr:sp macro="" textlink="">
      <xdr:nvSpPr>
        <xdr:cNvPr id="20" name="Rectangle 19">
          <a:extLst>
            <a:ext uri="{FF2B5EF4-FFF2-40B4-BE49-F238E27FC236}">
              <a16:creationId xmlns:a16="http://schemas.microsoft.com/office/drawing/2014/main" id="{B46EBB0B-0560-4EAB-8F99-D1AA2CDC2490}"/>
            </a:ext>
          </a:extLst>
        </xdr:cNvPr>
        <xdr:cNvSpPr/>
      </xdr:nvSpPr>
      <xdr:spPr>
        <a:xfrm>
          <a:off x="7172324" y="4010025"/>
          <a:ext cx="2181225" cy="1171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tx1"/>
              </a:solidFill>
            </a:rPr>
            <a:t>Top 3 Less Selling Product :</a:t>
          </a:r>
          <a:endParaRPr lang="en-IN" sz="1200" b="1">
            <a:solidFill>
              <a:schemeClr val="tx1"/>
            </a:solidFill>
          </a:endParaRPr>
        </a:p>
      </xdr:txBody>
    </xdr:sp>
    <xdr:clientData/>
  </xdr:twoCellAnchor>
  <xdr:twoCellAnchor>
    <xdr:from>
      <xdr:col>1</xdr:col>
      <xdr:colOff>1009650</xdr:colOff>
      <xdr:row>10</xdr:row>
      <xdr:rowOff>95250</xdr:rowOff>
    </xdr:from>
    <xdr:to>
      <xdr:col>9</xdr:col>
      <xdr:colOff>657225</xdr:colOff>
      <xdr:row>23</xdr:row>
      <xdr:rowOff>76200</xdr:rowOff>
    </xdr:to>
    <xdr:sp macro="" textlink="">
      <xdr:nvSpPr>
        <xdr:cNvPr id="21" name="Rectangle: Rounded Corners 20">
          <a:extLst>
            <a:ext uri="{FF2B5EF4-FFF2-40B4-BE49-F238E27FC236}">
              <a16:creationId xmlns:a16="http://schemas.microsoft.com/office/drawing/2014/main" id="{D26F4EC7-48E3-48F7-AFCE-AC1E2D514AEB}"/>
            </a:ext>
          </a:extLst>
        </xdr:cNvPr>
        <xdr:cNvSpPr/>
      </xdr:nvSpPr>
      <xdr:spPr>
        <a:xfrm>
          <a:off x="1847850" y="2476500"/>
          <a:ext cx="5057775" cy="3076575"/>
        </a:xfrm>
        <a:prstGeom prst="roundRect">
          <a:avLst>
            <a:gd name="adj" fmla="val 38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1066800</xdr:colOff>
      <xdr:row>10</xdr:row>
      <xdr:rowOff>142876</xdr:rowOff>
    </xdr:from>
    <xdr:to>
      <xdr:col>6</xdr:col>
      <xdr:colOff>133349</xdr:colOff>
      <xdr:row>12</xdr:row>
      <xdr:rowOff>57150</xdr:rowOff>
    </xdr:to>
    <xdr:sp macro="" textlink="">
      <xdr:nvSpPr>
        <xdr:cNvPr id="23" name="Rectangle 22">
          <a:extLst>
            <a:ext uri="{FF2B5EF4-FFF2-40B4-BE49-F238E27FC236}">
              <a16:creationId xmlns:a16="http://schemas.microsoft.com/office/drawing/2014/main" id="{847922D5-5F5E-41AA-AFF5-734D0B53546D}"/>
            </a:ext>
          </a:extLst>
        </xdr:cNvPr>
        <xdr:cNvSpPr/>
      </xdr:nvSpPr>
      <xdr:spPr>
        <a:xfrm>
          <a:off x="1905000" y="2524126"/>
          <a:ext cx="1962149" cy="3905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Sale By Products</a:t>
          </a:r>
          <a:r>
            <a:rPr lang="en-IN" sz="1200" b="1" baseline="0">
              <a:solidFill>
                <a:schemeClr val="tx1"/>
              </a:solidFill>
            </a:rPr>
            <a:t> :</a:t>
          </a:r>
          <a:r>
            <a:rPr lang="en-IN" sz="1100" baseline="0"/>
            <a:t>:</a:t>
          </a:r>
          <a:endParaRPr lang="en-IN" sz="1100"/>
        </a:p>
      </xdr:txBody>
    </xdr:sp>
    <xdr:clientData/>
  </xdr:twoCellAnchor>
  <xdr:twoCellAnchor>
    <xdr:from>
      <xdr:col>0</xdr:col>
      <xdr:colOff>228599</xdr:colOff>
      <xdr:row>10</xdr:row>
      <xdr:rowOff>28576</xdr:rowOff>
    </xdr:from>
    <xdr:to>
      <xdr:col>1</xdr:col>
      <xdr:colOff>847724</xdr:colOff>
      <xdr:row>11</xdr:row>
      <xdr:rowOff>190501</xdr:rowOff>
    </xdr:to>
    <xdr:sp macro="" textlink="">
      <xdr:nvSpPr>
        <xdr:cNvPr id="24" name="Rectangle: Rounded Corners 23">
          <a:hlinkClick xmlns:r="http://schemas.openxmlformats.org/officeDocument/2006/relationships" r:id="rId3"/>
          <a:extLst>
            <a:ext uri="{FF2B5EF4-FFF2-40B4-BE49-F238E27FC236}">
              <a16:creationId xmlns:a16="http://schemas.microsoft.com/office/drawing/2014/main" id="{605B74EE-E31E-409F-8C9F-E071878FF442}"/>
            </a:ext>
          </a:extLst>
        </xdr:cNvPr>
        <xdr:cNvSpPr/>
      </xdr:nvSpPr>
      <xdr:spPr>
        <a:xfrm>
          <a:off x="228599" y="2409826"/>
          <a:ext cx="1457325" cy="40005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baseline="0">
              <a:solidFill>
                <a:schemeClr val="tx1"/>
              </a:solidFill>
            </a:rPr>
            <a:t>  </a:t>
          </a:r>
          <a:r>
            <a:rPr lang="en-IN" sz="1400" b="1" i="1" baseline="0">
              <a:solidFill>
                <a:schemeClr val="bg1"/>
              </a:solidFill>
            </a:rPr>
            <a:t>DASHBOARD</a:t>
          </a:r>
          <a:endParaRPr lang="en-IN" sz="1400" b="1" i="1">
            <a:solidFill>
              <a:schemeClr val="bg1"/>
            </a:solidFill>
          </a:endParaRPr>
        </a:p>
      </xdr:txBody>
    </xdr:sp>
    <xdr:clientData/>
  </xdr:twoCellAnchor>
  <xdr:twoCellAnchor>
    <xdr:from>
      <xdr:col>0</xdr:col>
      <xdr:colOff>228600</xdr:colOff>
      <xdr:row>12</xdr:row>
      <xdr:rowOff>76201</xdr:rowOff>
    </xdr:from>
    <xdr:to>
      <xdr:col>1</xdr:col>
      <xdr:colOff>838200</xdr:colOff>
      <xdr:row>14</xdr:row>
      <xdr:rowOff>19051</xdr:rowOff>
    </xdr:to>
    <xdr:sp macro="" textlink="">
      <xdr:nvSpPr>
        <xdr:cNvPr id="25" name="Rectangle: Rounded Corners 24">
          <a:hlinkClick xmlns:r="http://schemas.openxmlformats.org/officeDocument/2006/relationships" r:id="rId4"/>
          <a:extLst>
            <a:ext uri="{FF2B5EF4-FFF2-40B4-BE49-F238E27FC236}">
              <a16:creationId xmlns:a16="http://schemas.microsoft.com/office/drawing/2014/main" id="{C4CCBC0D-46F6-4D39-8623-2C5D8FD32613}"/>
            </a:ext>
          </a:extLst>
        </xdr:cNvPr>
        <xdr:cNvSpPr/>
      </xdr:nvSpPr>
      <xdr:spPr>
        <a:xfrm>
          <a:off x="228600" y="2933701"/>
          <a:ext cx="1447800" cy="419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solidFill>
                <a:schemeClr val="accent1">
                  <a:lumMod val="75000"/>
                </a:schemeClr>
              </a:solidFill>
            </a:rPr>
            <a:t>   </a:t>
          </a:r>
          <a:r>
            <a:rPr lang="en-IN" sz="1400" b="1" i="1" baseline="0">
              <a:solidFill>
                <a:schemeClr val="accent1">
                  <a:lumMod val="75000"/>
                </a:schemeClr>
              </a:solidFill>
            </a:rPr>
            <a:t>PRODUCTS</a:t>
          </a:r>
          <a:endParaRPr lang="en-IN" sz="1400" b="1" i="1">
            <a:solidFill>
              <a:schemeClr val="accent1">
                <a:lumMod val="75000"/>
              </a:schemeClr>
            </a:solidFill>
          </a:endParaRPr>
        </a:p>
      </xdr:txBody>
    </xdr:sp>
    <xdr:clientData/>
  </xdr:twoCellAnchor>
  <xdr:twoCellAnchor>
    <xdr:from>
      <xdr:col>0</xdr:col>
      <xdr:colOff>238125</xdr:colOff>
      <xdr:row>14</xdr:row>
      <xdr:rowOff>152400</xdr:rowOff>
    </xdr:from>
    <xdr:to>
      <xdr:col>1</xdr:col>
      <xdr:colOff>847725</xdr:colOff>
      <xdr:row>16</xdr:row>
      <xdr:rowOff>95250</xdr:rowOff>
    </xdr:to>
    <xdr:sp macro="" textlink="">
      <xdr:nvSpPr>
        <xdr:cNvPr id="26" name="Rectangle: Rounded Corners 25">
          <a:hlinkClick xmlns:r="http://schemas.openxmlformats.org/officeDocument/2006/relationships" r:id="rId5"/>
          <a:extLst>
            <a:ext uri="{FF2B5EF4-FFF2-40B4-BE49-F238E27FC236}">
              <a16:creationId xmlns:a16="http://schemas.microsoft.com/office/drawing/2014/main" id="{9D470C7A-793F-43A3-8335-DFC8D41224E5}"/>
            </a:ext>
          </a:extLst>
        </xdr:cNvPr>
        <xdr:cNvSpPr/>
      </xdr:nvSpPr>
      <xdr:spPr>
        <a:xfrm>
          <a:off x="238125" y="3486150"/>
          <a:ext cx="1447800" cy="419100"/>
        </a:xfrm>
        <a:prstGeom prst="roundRect">
          <a:avLst/>
        </a:prstGeom>
        <a:solidFill>
          <a:schemeClr val="accent5">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i="1" baseline="0">
              <a:solidFill>
                <a:schemeClr val="bg1"/>
              </a:solidFill>
            </a:rPr>
            <a:t>   </a:t>
          </a:r>
          <a:r>
            <a:rPr lang="en-IN" sz="1400" b="1" i="1" baseline="0">
              <a:solidFill>
                <a:schemeClr val="bg1"/>
              </a:solidFill>
            </a:rPr>
            <a:t>SALESMANS</a:t>
          </a:r>
          <a:endParaRPr lang="en-IN" sz="1400" b="1" i="1">
            <a:solidFill>
              <a:schemeClr val="bg1"/>
            </a:solidFill>
          </a:endParaRPr>
        </a:p>
      </xdr:txBody>
    </xdr:sp>
    <xdr:clientData/>
  </xdr:twoCellAnchor>
  <xdr:twoCellAnchor>
    <xdr:from>
      <xdr:col>0</xdr:col>
      <xdr:colOff>238125</xdr:colOff>
      <xdr:row>16</xdr:row>
      <xdr:rowOff>209550</xdr:rowOff>
    </xdr:from>
    <xdr:to>
      <xdr:col>1</xdr:col>
      <xdr:colOff>847725</xdr:colOff>
      <xdr:row>19</xdr:row>
      <xdr:rowOff>104775</xdr:rowOff>
    </xdr:to>
    <xdr:sp macro="" textlink="">
      <xdr:nvSpPr>
        <xdr:cNvPr id="27" name="Rectangle: Rounded Corners 26">
          <a:hlinkClick xmlns:r="http://schemas.openxmlformats.org/officeDocument/2006/relationships" r:id="rId6"/>
          <a:extLst>
            <a:ext uri="{FF2B5EF4-FFF2-40B4-BE49-F238E27FC236}">
              <a16:creationId xmlns:a16="http://schemas.microsoft.com/office/drawing/2014/main" id="{FBC9DA11-177E-407B-A6DA-F16B85011674}"/>
            </a:ext>
          </a:extLst>
        </xdr:cNvPr>
        <xdr:cNvSpPr/>
      </xdr:nvSpPr>
      <xdr:spPr>
        <a:xfrm>
          <a:off x="238125" y="4019550"/>
          <a:ext cx="1447800" cy="609600"/>
        </a:xfrm>
        <a:prstGeom prst="roundRect">
          <a:avLst/>
        </a:prstGeom>
        <a:solidFill>
          <a:schemeClr val="accent5">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bg1"/>
              </a:solidFill>
            </a:rPr>
            <a:t>  </a:t>
          </a:r>
          <a:r>
            <a:rPr lang="en-IN" sz="1400" b="1" i="1" baseline="0">
              <a:solidFill>
                <a:schemeClr val="bg1"/>
              </a:solidFill>
            </a:rPr>
            <a:t>ABOUT  THE PROJECTS</a:t>
          </a:r>
          <a:endParaRPr lang="en-IN" sz="1400" b="1" i="1">
            <a:solidFill>
              <a:schemeClr val="bg1"/>
            </a:solidFill>
          </a:endParaRPr>
        </a:p>
      </xdr:txBody>
    </xdr:sp>
    <xdr:clientData/>
  </xdr:twoCellAnchor>
  <xdr:twoCellAnchor>
    <xdr:from>
      <xdr:col>4</xdr:col>
      <xdr:colOff>600075</xdr:colOff>
      <xdr:row>10</xdr:row>
      <xdr:rowOff>57150</xdr:rowOff>
    </xdr:from>
    <xdr:to>
      <xdr:col>6</xdr:col>
      <xdr:colOff>704850</xdr:colOff>
      <xdr:row>12</xdr:row>
      <xdr:rowOff>228600</xdr:rowOff>
    </xdr:to>
    <xdr:sp macro="" textlink="">
      <xdr:nvSpPr>
        <xdr:cNvPr id="29" name="Rectangle 28">
          <a:extLst>
            <a:ext uri="{FF2B5EF4-FFF2-40B4-BE49-F238E27FC236}">
              <a16:creationId xmlns:a16="http://schemas.microsoft.com/office/drawing/2014/main" id="{45A19FC5-DD15-447E-84CA-941EA28B23F6}"/>
            </a:ext>
          </a:extLst>
        </xdr:cNvPr>
        <xdr:cNvSpPr/>
      </xdr:nvSpPr>
      <xdr:spPr>
        <a:xfrm>
          <a:off x="2657475" y="2438400"/>
          <a:ext cx="178117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solidFill>
          </a:endParaRPr>
        </a:p>
      </xdr:txBody>
    </xdr:sp>
    <xdr:clientData/>
  </xdr:twoCellAnchor>
  <xdr:twoCellAnchor>
    <xdr:from>
      <xdr:col>7</xdr:col>
      <xdr:colOff>771524</xdr:colOff>
      <xdr:row>10</xdr:row>
      <xdr:rowOff>104775</xdr:rowOff>
    </xdr:from>
    <xdr:to>
      <xdr:col>9</xdr:col>
      <xdr:colOff>342899</xdr:colOff>
      <xdr:row>13</xdr:row>
      <xdr:rowOff>38099</xdr:rowOff>
    </xdr:to>
    <xdr:sp macro="" textlink="">
      <xdr:nvSpPr>
        <xdr:cNvPr id="30" name="Rectangle 29">
          <a:extLst>
            <a:ext uri="{FF2B5EF4-FFF2-40B4-BE49-F238E27FC236}">
              <a16:creationId xmlns:a16="http://schemas.microsoft.com/office/drawing/2014/main" id="{2B21415D-5349-4EE4-99F1-342A1FA35DBF}"/>
            </a:ext>
          </a:extLst>
        </xdr:cNvPr>
        <xdr:cNvSpPr/>
      </xdr:nvSpPr>
      <xdr:spPr>
        <a:xfrm>
          <a:off x="5343524" y="2486025"/>
          <a:ext cx="1247775" cy="6476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solidFill>
          </a:endParaRPr>
        </a:p>
      </xdr:txBody>
    </xdr:sp>
    <xdr:clientData/>
  </xdr:twoCellAnchor>
  <xdr:twoCellAnchor editAs="oneCell">
    <xdr:from>
      <xdr:col>1</xdr:col>
      <xdr:colOff>1028699</xdr:colOff>
      <xdr:row>1</xdr:row>
      <xdr:rowOff>104775</xdr:rowOff>
    </xdr:from>
    <xdr:to>
      <xdr:col>11</xdr:col>
      <xdr:colOff>447675</xdr:colOff>
      <xdr:row>5</xdr:row>
      <xdr:rowOff>114300</xdr:rowOff>
    </xdr:to>
    <mc:AlternateContent xmlns:mc="http://schemas.openxmlformats.org/markup-compatibility/2006" xmlns:tsle="http://schemas.microsoft.com/office/drawing/2012/timeslicer">
      <mc:Choice Requires="tsle">
        <xdr:graphicFrame macro="">
          <xdr:nvGraphicFramePr>
            <xdr:cNvPr id="32" name="Date 9">
              <a:extLst>
                <a:ext uri="{FF2B5EF4-FFF2-40B4-BE49-F238E27FC236}">
                  <a16:creationId xmlns:a16="http://schemas.microsoft.com/office/drawing/2014/main" id="{FF1EAC01-934A-4930-BF31-5E437391C037}"/>
                </a:ext>
              </a:extLst>
            </xdr:cNvPr>
            <xdr:cNvGraphicFramePr/>
          </xdr:nvGraphicFramePr>
          <xdr:xfrm>
            <a:off x="0" y="0"/>
            <a:ext cx="0" cy="0"/>
          </xdr:xfrm>
          <a:graphic>
            <a:graphicData uri="http://schemas.microsoft.com/office/drawing/2012/timeslicer">
              <tsle:timeslicer name="Date 9"/>
            </a:graphicData>
          </a:graphic>
        </xdr:graphicFrame>
      </mc:Choice>
      <mc:Fallback xmlns="">
        <xdr:sp macro="" textlink="">
          <xdr:nvSpPr>
            <xdr:cNvPr id="0" name=""/>
            <xdr:cNvSpPr>
              <a:spLocks noTextEdit="1"/>
            </xdr:cNvSpPr>
          </xdr:nvSpPr>
          <xdr:spPr>
            <a:xfrm>
              <a:off x="1866899" y="342900"/>
              <a:ext cx="6505576" cy="9620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571499</xdr:colOff>
      <xdr:row>1</xdr:row>
      <xdr:rowOff>76200</xdr:rowOff>
    </xdr:from>
    <xdr:to>
      <xdr:col>15</xdr:col>
      <xdr:colOff>647700</xdr:colOff>
      <xdr:row>5</xdr:row>
      <xdr:rowOff>95250</xdr:rowOff>
    </xdr:to>
    <mc:AlternateContent xmlns:mc="http://schemas.openxmlformats.org/markup-compatibility/2006" xmlns:a14="http://schemas.microsoft.com/office/drawing/2010/main">
      <mc:Choice Requires="a14">
        <xdr:graphicFrame macro="">
          <xdr:nvGraphicFramePr>
            <xdr:cNvPr id="33" name="Region 10">
              <a:extLst>
                <a:ext uri="{FF2B5EF4-FFF2-40B4-BE49-F238E27FC236}">
                  <a16:creationId xmlns:a16="http://schemas.microsoft.com/office/drawing/2014/main" id="{B338AA6D-A6D4-487D-9A78-EAFC519AF55A}"/>
                </a:ext>
              </a:extLst>
            </xdr:cNvPr>
            <xdr:cNvGraphicFramePr/>
          </xdr:nvGraphicFramePr>
          <xdr:xfrm>
            <a:off x="0" y="0"/>
            <a:ext cx="0" cy="0"/>
          </xdr:xfrm>
          <a:graphic>
            <a:graphicData uri="http://schemas.microsoft.com/office/drawing/2010/slicer">
              <sle:slicer xmlns:sle="http://schemas.microsoft.com/office/drawing/2010/slicer" name="Region 10"/>
            </a:graphicData>
          </a:graphic>
        </xdr:graphicFrame>
      </mc:Choice>
      <mc:Fallback xmlns="">
        <xdr:sp macro="" textlink="">
          <xdr:nvSpPr>
            <xdr:cNvPr id="0" name=""/>
            <xdr:cNvSpPr>
              <a:spLocks noTextEdit="1"/>
            </xdr:cNvSpPr>
          </xdr:nvSpPr>
          <xdr:spPr>
            <a:xfrm>
              <a:off x="8496299" y="314325"/>
              <a:ext cx="3429001"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1021555</xdr:colOff>
      <xdr:row>5</xdr:row>
      <xdr:rowOff>180976</xdr:rowOff>
    </xdr:from>
    <xdr:to>
      <xdr:col>15</xdr:col>
      <xdr:colOff>650080</xdr:colOff>
      <xdr:row>8</xdr:row>
      <xdr:rowOff>152401</xdr:rowOff>
    </xdr:to>
    <mc:AlternateContent xmlns:mc="http://schemas.openxmlformats.org/markup-compatibility/2006" xmlns:a14="http://schemas.microsoft.com/office/drawing/2010/main">
      <mc:Choice Requires="a14">
        <xdr:graphicFrame macro="">
          <xdr:nvGraphicFramePr>
            <xdr:cNvPr id="34" name="Item 10">
              <a:extLst>
                <a:ext uri="{FF2B5EF4-FFF2-40B4-BE49-F238E27FC236}">
                  <a16:creationId xmlns:a16="http://schemas.microsoft.com/office/drawing/2014/main" id="{9EEEFD58-CC78-4A2B-8621-D7AD7DFECF1E}"/>
                </a:ext>
              </a:extLst>
            </xdr:cNvPr>
            <xdr:cNvGraphicFramePr/>
          </xdr:nvGraphicFramePr>
          <xdr:xfrm>
            <a:off x="0" y="0"/>
            <a:ext cx="0" cy="0"/>
          </xdr:xfrm>
          <a:graphic>
            <a:graphicData uri="http://schemas.microsoft.com/office/drawing/2010/slicer">
              <sle:slicer xmlns:sle="http://schemas.microsoft.com/office/drawing/2010/slicer" name="Item 10"/>
            </a:graphicData>
          </a:graphic>
        </xdr:graphicFrame>
      </mc:Choice>
      <mc:Fallback xmlns="">
        <xdr:sp macro="" textlink="">
          <xdr:nvSpPr>
            <xdr:cNvPr id="0" name=""/>
            <xdr:cNvSpPr>
              <a:spLocks noTextEdit="1"/>
            </xdr:cNvSpPr>
          </xdr:nvSpPr>
          <xdr:spPr>
            <a:xfrm>
              <a:off x="1854993" y="1371601"/>
              <a:ext cx="10010775"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28574</xdr:colOff>
      <xdr:row>11</xdr:row>
      <xdr:rowOff>76199</xdr:rowOff>
    </xdr:from>
    <xdr:to>
      <xdr:col>16</xdr:col>
      <xdr:colOff>38100</xdr:colOff>
      <xdr:row>16</xdr:row>
      <xdr:rowOff>104775</xdr:rowOff>
    </xdr:to>
    <xdr:graphicFrame macro="">
      <xdr:nvGraphicFramePr>
        <xdr:cNvPr id="35" name="Chart 34">
          <a:extLst>
            <a:ext uri="{FF2B5EF4-FFF2-40B4-BE49-F238E27FC236}">
              <a16:creationId xmlns:a16="http://schemas.microsoft.com/office/drawing/2014/main" id="{08BE7139-6C2E-46C2-A87F-5D1DF29BF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57150</xdr:colOff>
      <xdr:row>17</xdr:row>
      <xdr:rowOff>228602</xdr:rowOff>
    </xdr:from>
    <xdr:to>
      <xdr:col>15</xdr:col>
      <xdr:colOff>781050</xdr:colOff>
      <xdr:row>23</xdr:row>
      <xdr:rowOff>57150</xdr:rowOff>
    </xdr:to>
    <xdr:graphicFrame macro="">
      <xdr:nvGraphicFramePr>
        <xdr:cNvPr id="37" name="Chart 36">
          <a:extLst>
            <a:ext uri="{FF2B5EF4-FFF2-40B4-BE49-F238E27FC236}">
              <a16:creationId xmlns:a16="http://schemas.microsoft.com/office/drawing/2014/main" id="{9922E3DA-A0E0-4AFE-A5E5-BFA795E88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1047749</xdr:colOff>
      <xdr:row>11</xdr:row>
      <xdr:rowOff>123824</xdr:rowOff>
    </xdr:from>
    <xdr:to>
      <xdr:col>9</xdr:col>
      <xdr:colOff>619124</xdr:colOff>
      <xdr:row>23</xdr:row>
      <xdr:rowOff>38099</xdr:rowOff>
    </xdr:to>
    <xdr:graphicFrame macro="">
      <xdr:nvGraphicFramePr>
        <xdr:cNvPr id="38" name="Chart 37">
          <a:extLst>
            <a:ext uri="{FF2B5EF4-FFF2-40B4-BE49-F238E27FC236}">
              <a16:creationId xmlns:a16="http://schemas.microsoft.com/office/drawing/2014/main" id="{2E68555D-E12C-4F32-B944-E207CDA21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352425</xdr:colOff>
      <xdr:row>22</xdr:row>
      <xdr:rowOff>152399</xdr:rowOff>
    </xdr:from>
    <xdr:to>
      <xdr:col>4</xdr:col>
      <xdr:colOff>295275</xdr:colOff>
      <xdr:row>26</xdr:row>
      <xdr:rowOff>47624</xdr:rowOff>
    </xdr:to>
    <xdr:sp macro="" textlink="">
      <xdr:nvSpPr>
        <xdr:cNvPr id="6" name="Rectangle 5">
          <a:extLst>
            <a:ext uri="{FF2B5EF4-FFF2-40B4-BE49-F238E27FC236}">
              <a16:creationId xmlns:a16="http://schemas.microsoft.com/office/drawing/2014/main" id="{8E13806A-38EF-13CF-B4AC-B7E18A09DDC5}"/>
            </a:ext>
          </a:extLst>
        </xdr:cNvPr>
        <xdr:cNvSpPr/>
      </xdr:nvSpPr>
      <xdr:spPr>
        <a:xfrm>
          <a:off x="352425" y="5391149"/>
          <a:ext cx="2000250" cy="8477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Created By :</a:t>
          </a:r>
        </a:p>
        <a:p>
          <a:pPr algn="l"/>
          <a:r>
            <a:rPr lang="en-IN" sz="1100" b="1" i="1"/>
            <a:t>INNAMA AKHTAR</a:t>
          </a:r>
        </a:p>
      </xdr:txBody>
    </xdr:sp>
    <xdr:clientData/>
  </xdr:twoCellAnchor>
  <xdr:twoCellAnchor>
    <xdr:from>
      <xdr:col>0</xdr:col>
      <xdr:colOff>200025</xdr:colOff>
      <xdr:row>1</xdr:row>
      <xdr:rowOff>1</xdr:rowOff>
    </xdr:from>
    <xdr:to>
      <xdr:col>1</xdr:col>
      <xdr:colOff>801825</xdr:colOff>
      <xdr:row>4</xdr:row>
      <xdr:rowOff>95250</xdr:rowOff>
    </xdr:to>
    <xdr:grpSp>
      <xdr:nvGrpSpPr>
        <xdr:cNvPr id="7" name="Group 6">
          <a:extLst>
            <a:ext uri="{FF2B5EF4-FFF2-40B4-BE49-F238E27FC236}">
              <a16:creationId xmlns:a16="http://schemas.microsoft.com/office/drawing/2014/main" id="{3C247A4F-51C3-A188-479E-47E7C18D5799}"/>
            </a:ext>
          </a:extLst>
        </xdr:cNvPr>
        <xdr:cNvGrpSpPr/>
      </xdr:nvGrpSpPr>
      <xdr:grpSpPr>
        <a:xfrm>
          <a:off x="200025" y="238126"/>
          <a:ext cx="1435238" cy="809624"/>
          <a:chOff x="-29898" y="-85725"/>
          <a:chExt cx="1574208" cy="798303"/>
        </a:xfrm>
        <a:scene3d>
          <a:camera prst="orthographicFront"/>
          <a:lightRig rig="threePt" dir="t">
            <a:rot lat="0" lon="0" rev="7500000"/>
          </a:lightRig>
        </a:scene3d>
      </xdr:grpSpPr>
      <xdr:sp macro="" textlink="">
        <xdr:nvSpPr>
          <xdr:cNvPr id="10" name="Rectangle 9">
            <a:extLst>
              <a:ext uri="{FF2B5EF4-FFF2-40B4-BE49-F238E27FC236}">
                <a16:creationId xmlns:a16="http://schemas.microsoft.com/office/drawing/2014/main" id="{DDE368EC-1F38-8E08-7D97-89CD3B444B1F}"/>
              </a:ext>
            </a:extLst>
          </xdr:cNvPr>
          <xdr:cNvSpPr/>
        </xdr:nvSpPr>
        <xdr:spPr>
          <a:xfrm>
            <a:off x="0" y="0"/>
            <a:ext cx="1544310" cy="703186"/>
          </a:xfrm>
          <a:prstGeom prst="rect">
            <a:avLst/>
          </a:prstGeom>
          <a:sp3d prstMaterial="plastic">
            <a:bevelT w="127000" h="25400" prst="relaxedInset"/>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sp>
      <xdr:sp macro="" textlink="">
        <xdr:nvSpPr>
          <xdr:cNvPr id="11" name="TextBox 10">
            <a:extLst>
              <a:ext uri="{FF2B5EF4-FFF2-40B4-BE49-F238E27FC236}">
                <a16:creationId xmlns:a16="http://schemas.microsoft.com/office/drawing/2014/main" id="{622EAC95-2632-37B8-54AE-8B5C36B9BE30}"/>
              </a:ext>
            </a:extLst>
          </xdr:cNvPr>
          <xdr:cNvSpPr txBox="1"/>
        </xdr:nvSpPr>
        <xdr:spPr>
          <a:xfrm>
            <a:off x="-29898" y="-85725"/>
            <a:ext cx="1468978" cy="798303"/>
          </a:xfrm>
          <a:prstGeom prst="rect">
            <a:avLst/>
          </a:prstGeom>
          <a:sp3d/>
        </xdr:spPr>
        <xdr:style>
          <a:lnRef idx="0">
            <a:scrgbClr r="0" g="0" b="0"/>
          </a:lnRef>
          <a:fillRef idx="0">
            <a:scrgbClr r="0" g="0" b="0"/>
          </a:fillRef>
          <a:effectRef idx="0">
            <a:scrgbClr r="0" g="0" b="0"/>
          </a:effectRef>
          <a:fontRef idx="minor">
            <a:schemeClr val="dk1">
              <a:hueOff val="0"/>
              <a:satOff val="0"/>
              <a:lumOff val="0"/>
              <a:alphaOff val="0"/>
            </a:schemeClr>
          </a:fontRef>
        </xdr:style>
        <xdr: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b="1" i="1" kern="1200">
                <a:solidFill>
                  <a:schemeClr val="accent1"/>
                </a:solidFill>
              </a:rPr>
              <a:t>SALES DASHBOARD</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0</xdr:row>
      <xdr:rowOff>133351</xdr:rowOff>
    </xdr:from>
    <xdr:to>
      <xdr:col>16</xdr:col>
      <xdr:colOff>228599</xdr:colOff>
      <xdr:row>24</xdr:row>
      <xdr:rowOff>152401</xdr:rowOff>
    </xdr:to>
    <xdr:sp macro="" textlink="">
      <xdr:nvSpPr>
        <xdr:cNvPr id="2" name="Rectangle: Rounded Corners 1">
          <a:extLst>
            <a:ext uri="{FF2B5EF4-FFF2-40B4-BE49-F238E27FC236}">
              <a16:creationId xmlns:a16="http://schemas.microsoft.com/office/drawing/2014/main" id="{C4EC37EC-2CFF-407F-8B9D-4A8987BE5BD5}"/>
            </a:ext>
          </a:extLst>
        </xdr:cNvPr>
        <xdr:cNvSpPr/>
      </xdr:nvSpPr>
      <xdr:spPr>
        <a:xfrm>
          <a:off x="133350" y="133351"/>
          <a:ext cx="12211049" cy="5734050"/>
        </a:xfrm>
        <a:prstGeom prst="roundRect">
          <a:avLst>
            <a:gd name="adj" fmla="val 305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895350</xdr:colOff>
      <xdr:row>0</xdr:row>
      <xdr:rowOff>219075</xdr:rowOff>
    </xdr:from>
    <xdr:to>
      <xdr:col>16</xdr:col>
      <xdr:colOff>133350</xdr:colOff>
      <xdr:row>24</xdr:row>
      <xdr:rowOff>9525</xdr:rowOff>
    </xdr:to>
    <xdr:sp macro="" textlink="">
      <xdr:nvSpPr>
        <xdr:cNvPr id="3" name="Rectangle: Rounded Corners 2">
          <a:extLst>
            <a:ext uri="{FF2B5EF4-FFF2-40B4-BE49-F238E27FC236}">
              <a16:creationId xmlns:a16="http://schemas.microsoft.com/office/drawing/2014/main" id="{4F7D3B3E-B20A-40CD-94AF-CF7DAF6D636E}"/>
            </a:ext>
          </a:extLst>
        </xdr:cNvPr>
        <xdr:cNvSpPr/>
      </xdr:nvSpPr>
      <xdr:spPr>
        <a:xfrm>
          <a:off x="1733550" y="219075"/>
          <a:ext cx="10515600" cy="5505450"/>
        </a:xfrm>
        <a:prstGeom prst="roundRect">
          <a:avLst>
            <a:gd name="adj" fmla="val 3963"/>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vv</a:t>
          </a:r>
        </a:p>
      </xdr:txBody>
    </xdr:sp>
    <xdr:clientData/>
  </xdr:twoCellAnchor>
  <xdr:twoCellAnchor>
    <xdr:from>
      <xdr:col>4</xdr:col>
      <xdr:colOff>104775</xdr:colOff>
      <xdr:row>8</xdr:row>
      <xdr:rowOff>209550</xdr:rowOff>
    </xdr:from>
    <xdr:to>
      <xdr:col>6</xdr:col>
      <xdr:colOff>723901</xdr:colOff>
      <xdr:row>13</xdr:row>
      <xdr:rowOff>133349</xdr:rowOff>
    </xdr:to>
    <xdr:sp macro="" textlink="">
      <xdr:nvSpPr>
        <xdr:cNvPr id="5" name="Rectangle 4">
          <a:extLst>
            <a:ext uri="{FF2B5EF4-FFF2-40B4-BE49-F238E27FC236}">
              <a16:creationId xmlns:a16="http://schemas.microsoft.com/office/drawing/2014/main" id="{CC568FC1-1556-49A7-9D50-71619C816B44}"/>
            </a:ext>
          </a:extLst>
        </xdr:cNvPr>
        <xdr:cNvSpPr/>
      </xdr:nvSpPr>
      <xdr:spPr>
        <a:xfrm>
          <a:off x="2162175" y="2114550"/>
          <a:ext cx="2295526" cy="11144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Analytics</a:t>
          </a:r>
        </a:p>
      </xdr:txBody>
    </xdr:sp>
    <xdr:clientData/>
  </xdr:twoCellAnchor>
  <xdr:twoCellAnchor editAs="oneCell">
    <xdr:from>
      <xdr:col>1</xdr:col>
      <xdr:colOff>1066799</xdr:colOff>
      <xdr:row>8</xdr:row>
      <xdr:rowOff>152399</xdr:rowOff>
    </xdr:from>
    <xdr:to>
      <xdr:col>4</xdr:col>
      <xdr:colOff>207599</xdr:colOff>
      <xdr:row>10</xdr:row>
      <xdr:rowOff>39678</xdr:rowOff>
    </xdr:to>
    <xdr:pic>
      <xdr:nvPicPr>
        <xdr:cNvPr id="6" name="Graphic 5" descr="Bar chart">
          <a:extLst>
            <a:ext uri="{FF2B5EF4-FFF2-40B4-BE49-F238E27FC236}">
              <a16:creationId xmlns:a16="http://schemas.microsoft.com/office/drawing/2014/main" id="{353FE16A-BB54-4B5F-81FA-FA76CAED38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04999" y="2057399"/>
          <a:ext cx="360000" cy="363529"/>
        </a:xfrm>
        <a:prstGeom prst="rect">
          <a:avLst/>
        </a:prstGeom>
      </xdr:spPr>
    </xdr:pic>
    <xdr:clientData/>
  </xdr:twoCellAnchor>
  <xdr:twoCellAnchor>
    <xdr:from>
      <xdr:col>10</xdr:col>
      <xdr:colOff>47624</xdr:colOff>
      <xdr:row>16</xdr:row>
      <xdr:rowOff>190500</xdr:rowOff>
    </xdr:from>
    <xdr:to>
      <xdr:col>16</xdr:col>
      <xdr:colOff>66675</xdr:colOff>
      <xdr:row>23</xdr:row>
      <xdr:rowOff>76200</xdr:rowOff>
    </xdr:to>
    <xdr:sp macro="" textlink="">
      <xdr:nvSpPr>
        <xdr:cNvPr id="8" name="Rectangle 7">
          <a:extLst>
            <a:ext uri="{FF2B5EF4-FFF2-40B4-BE49-F238E27FC236}">
              <a16:creationId xmlns:a16="http://schemas.microsoft.com/office/drawing/2014/main" id="{B00A5E8C-43F5-48A8-A9AE-EA9B7617367B}"/>
            </a:ext>
          </a:extLst>
        </xdr:cNvPr>
        <xdr:cNvSpPr/>
      </xdr:nvSpPr>
      <xdr:spPr>
        <a:xfrm>
          <a:off x="7134224" y="4000500"/>
          <a:ext cx="5048251" cy="15525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10</xdr:col>
      <xdr:colOff>85724</xdr:colOff>
      <xdr:row>16</xdr:row>
      <xdr:rowOff>200025</xdr:rowOff>
    </xdr:from>
    <xdr:to>
      <xdr:col>12</xdr:col>
      <xdr:colOff>590549</xdr:colOff>
      <xdr:row>21</xdr:row>
      <xdr:rowOff>180975</xdr:rowOff>
    </xdr:to>
    <xdr:sp macro="" textlink="">
      <xdr:nvSpPr>
        <xdr:cNvPr id="9" name="Rectangle 8">
          <a:extLst>
            <a:ext uri="{FF2B5EF4-FFF2-40B4-BE49-F238E27FC236}">
              <a16:creationId xmlns:a16="http://schemas.microsoft.com/office/drawing/2014/main" id="{606320D1-9994-4B2D-B0C5-CFD2379C04F0}"/>
            </a:ext>
          </a:extLst>
        </xdr:cNvPr>
        <xdr:cNvSpPr/>
      </xdr:nvSpPr>
      <xdr:spPr>
        <a:xfrm>
          <a:off x="7172324" y="4010025"/>
          <a:ext cx="2181225" cy="11715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1" baseline="0">
              <a:solidFill>
                <a:schemeClr val="tx1"/>
              </a:solidFill>
            </a:rPr>
            <a:t>Poor  Performing 3 Salesman :</a:t>
          </a:r>
          <a:endParaRPr lang="en-IN" sz="1200" b="1" i="1">
            <a:solidFill>
              <a:schemeClr val="tx1"/>
            </a:solidFill>
          </a:endParaRPr>
        </a:p>
      </xdr:txBody>
    </xdr:sp>
    <xdr:clientData/>
  </xdr:twoCellAnchor>
  <xdr:twoCellAnchor>
    <xdr:from>
      <xdr:col>1</xdr:col>
      <xdr:colOff>990600</xdr:colOff>
      <xdr:row>11</xdr:row>
      <xdr:rowOff>114300</xdr:rowOff>
    </xdr:from>
    <xdr:to>
      <xdr:col>9</xdr:col>
      <xdr:colOff>638175</xdr:colOff>
      <xdr:row>23</xdr:row>
      <xdr:rowOff>95250</xdr:rowOff>
    </xdr:to>
    <xdr:sp macro="" textlink="">
      <xdr:nvSpPr>
        <xdr:cNvPr id="10" name="Rectangle: Rounded Corners 9">
          <a:extLst>
            <a:ext uri="{FF2B5EF4-FFF2-40B4-BE49-F238E27FC236}">
              <a16:creationId xmlns:a16="http://schemas.microsoft.com/office/drawing/2014/main" id="{F75A8C44-749C-44C6-9807-16653803B4B3}"/>
            </a:ext>
          </a:extLst>
        </xdr:cNvPr>
        <xdr:cNvSpPr/>
      </xdr:nvSpPr>
      <xdr:spPr>
        <a:xfrm>
          <a:off x="1828800" y="2733675"/>
          <a:ext cx="5057775" cy="2838450"/>
        </a:xfrm>
        <a:prstGeom prst="roundRect">
          <a:avLst>
            <a:gd name="adj" fmla="val 387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1019175</xdr:colOff>
      <xdr:row>11</xdr:row>
      <xdr:rowOff>123826</xdr:rowOff>
    </xdr:from>
    <xdr:to>
      <xdr:col>6</xdr:col>
      <xdr:colOff>85724</xdr:colOff>
      <xdr:row>13</xdr:row>
      <xdr:rowOff>38100</xdr:rowOff>
    </xdr:to>
    <xdr:sp macro="" textlink="">
      <xdr:nvSpPr>
        <xdr:cNvPr id="11" name="Rectangle 10">
          <a:extLst>
            <a:ext uri="{FF2B5EF4-FFF2-40B4-BE49-F238E27FC236}">
              <a16:creationId xmlns:a16="http://schemas.microsoft.com/office/drawing/2014/main" id="{9E95E1CD-1700-4611-9092-3B90023BD02F}"/>
            </a:ext>
          </a:extLst>
        </xdr:cNvPr>
        <xdr:cNvSpPr/>
      </xdr:nvSpPr>
      <xdr:spPr>
        <a:xfrm>
          <a:off x="1857375" y="2743201"/>
          <a:ext cx="1962149" cy="3905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tx1"/>
              </a:solidFill>
            </a:rPr>
            <a:t>Sale By Salesman</a:t>
          </a:r>
          <a:r>
            <a:rPr lang="en-IN" sz="1200" b="1" baseline="0">
              <a:solidFill>
                <a:schemeClr val="tx1"/>
              </a:solidFill>
            </a:rPr>
            <a:t> :</a:t>
          </a:r>
          <a:r>
            <a:rPr lang="en-IN" sz="1100" baseline="0"/>
            <a:t>:</a:t>
          </a:r>
          <a:endParaRPr lang="en-IN" sz="1100"/>
        </a:p>
      </xdr:txBody>
    </xdr:sp>
    <xdr:clientData/>
  </xdr:twoCellAnchor>
  <xdr:twoCellAnchor>
    <xdr:from>
      <xdr:col>0</xdr:col>
      <xdr:colOff>209549</xdr:colOff>
      <xdr:row>10</xdr:row>
      <xdr:rowOff>38101</xdr:rowOff>
    </xdr:from>
    <xdr:to>
      <xdr:col>1</xdr:col>
      <xdr:colOff>828674</xdr:colOff>
      <xdr:row>11</xdr:row>
      <xdr:rowOff>200026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FCF3D613-28CC-4676-8EE5-59DFB31B3D62}"/>
            </a:ext>
          </a:extLst>
        </xdr:cNvPr>
        <xdr:cNvSpPr/>
      </xdr:nvSpPr>
      <xdr:spPr>
        <a:xfrm>
          <a:off x="209549" y="2419351"/>
          <a:ext cx="1457325" cy="400050"/>
        </a:xfrm>
        <a:prstGeom prst="roundRect">
          <a:avLst/>
        </a:prstGeom>
        <a:solidFill>
          <a:schemeClr val="accent5">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baseline="0">
              <a:solidFill>
                <a:schemeClr val="bg1"/>
              </a:solidFill>
            </a:rPr>
            <a:t>  DASHBOARD</a:t>
          </a:r>
          <a:endParaRPr lang="en-IN" sz="1400" b="1" i="1">
            <a:solidFill>
              <a:schemeClr val="bg1"/>
            </a:solidFill>
          </a:endParaRPr>
        </a:p>
      </xdr:txBody>
    </xdr:sp>
    <xdr:clientData/>
  </xdr:twoCellAnchor>
  <xdr:twoCellAnchor>
    <xdr:from>
      <xdr:col>0</xdr:col>
      <xdr:colOff>228600</xdr:colOff>
      <xdr:row>12</xdr:row>
      <xdr:rowOff>114301</xdr:rowOff>
    </xdr:from>
    <xdr:to>
      <xdr:col>1</xdr:col>
      <xdr:colOff>838200</xdr:colOff>
      <xdr:row>14</xdr:row>
      <xdr:rowOff>57151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0FE39D0-426C-4054-99BB-63A978409F30}"/>
            </a:ext>
          </a:extLst>
        </xdr:cNvPr>
        <xdr:cNvSpPr/>
      </xdr:nvSpPr>
      <xdr:spPr>
        <a:xfrm>
          <a:off x="228600" y="2971801"/>
          <a:ext cx="1447800" cy="419100"/>
        </a:xfrm>
        <a:prstGeom prst="roundRect">
          <a:avLst/>
        </a:prstGeom>
        <a:solidFill>
          <a:schemeClr val="accent5">
            <a:lumMod val="7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aseline="0">
              <a:solidFill>
                <a:schemeClr val="bg1"/>
              </a:solidFill>
            </a:rPr>
            <a:t>   </a:t>
          </a:r>
          <a:r>
            <a:rPr lang="en-IN" sz="1400" b="1" i="1" baseline="0">
              <a:solidFill>
                <a:schemeClr val="bg1"/>
              </a:solidFill>
            </a:rPr>
            <a:t>PRODUCTS</a:t>
          </a:r>
          <a:endParaRPr lang="en-IN" sz="1400" b="1" i="1">
            <a:solidFill>
              <a:schemeClr val="bg1"/>
            </a:solidFill>
          </a:endParaRPr>
        </a:p>
      </xdr:txBody>
    </xdr:sp>
    <xdr:clientData/>
  </xdr:twoCellAnchor>
  <xdr:twoCellAnchor>
    <xdr:from>
      <xdr:col>0</xdr:col>
      <xdr:colOff>228600</xdr:colOff>
      <xdr:row>14</xdr:row>
      <xdr:rowOff>209550</xdr:rowOff>
    </xdr:from>
    <xdr:to>
      <xdr:col>1</xdr:col>
      <xdr:colOff>838200</xdr:colOff>
      <xdr:row>16</xdr:row>
      <xdr:rowOff>152400</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8B5F27FE-65E3-4F3E-AB8A-64F579995EBD}"/>
            </a:ext>
          </a:extLst>
        </xdr:cNvPr>
        <xdr:cNvSpPr/>
      </xdr:nvSpPr>
      <xdr:spPr>
        <a:xfrm>
          <a:off x="228600" y="3543300"/>
          <a:ext cx="1447800" cy="41910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baseline="0">
              <a:solidFill>
                <a:schemeClr val="accent5">
                  <a:lumMod val="75000"/>
                </a:schemeClr>
              </a:solidFill>
            </a:rPr>
            <a:t>   </a:t>
          </a:r>
          <a:r>
            <a:rPr lang="en-IN" sz="1400" b="1" i="1" baseline="0">
              <a:solidFill>
                <a:schemeClr val="accent5">
                  <a:lumMod val="75000"/>
                </a:schemeClr>
              </a:solidFill>
            </a:rPr>
            <a:t>SALESMANS</a:t>
          </a:r>
          <a:endParaRPr lang="en-IN" sz="1400" b="1" i="1">
            <a:solidFill>
              <a:schemeClr val="accent5">
                <a:lumMod val="75000"/>
              </a:schemeClr>
            </a:solidFill>
          </a:endParaRPr>
        </a:p>
      </xdr:txBody>
    </xdr:sp>
    <xdr:clientData/>
  </xdr:twoCellAnchor>
  <xdr:twoCellAnchor>
    <xdr:from>
      <xdr:col>0</xdr:col>
      <xdr:colOff>228600</xdr:colOff>
      <xdr:row>17</xdr:row>
      <xdr:rowOff>76200</xdr:rowOff>
    </xdr:from>
    <xdr:to>
      <xdr:col>1</xdr:col>
      <xdr:colOff>838200</xdr:colOff>
      <xdr:row>19</xdr:row>
      <xdr:rowOff>219075</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D2FC32B1-AE8F-4183-9272-08435814040B}"/>
            </a:ext>
          </a:extLst>
        </xdr:cNvPr>
        <xdr:cNvSpPr/>
      </xdr:nvSpPr>
      <xdr:spPr>
        <a:xfrm>
          <a:off x="228600" y="4124325"/>
          <a:ext cx="1447800" cy="619125"/>
        </a:xfrm>
        <a:prstGeom prst="roundRect">
          <a:avLst/>
        </a:prstGeom>
        <a:solidFill>
          <a:schemeClr val="accent5">
            <a:lumMod val="7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solidFill>
                <a:schemeClr val="bg1"/>
              </a:solidFill>
            </a:rPr>
            <a:t>  </a:t>
          </a:r>
          <a:r>
            <a:rPr lang="en-IN" sz="1400" b="1" i="1" baseline="0">
              <a:solidFill>
                <a:schemeClr val="bg1"/>
              </a:solidFill>
            </a:rPr>
            <a:t>ABOUT  THE PROJECTS</a:t>
          </a:r>
          <a:endParaRPr lang="en-IN" sz="1400" b="1" i="1">
            <a:solidFill>
              <a:schemeClr val="bg1"/>
            </a:solidFill>
          </a:endParaRPr>
        </a:p>
      </xdr:txBody>
    </xdr:sp>
    <xdr:clientData/>
  </xdr:twoCellAnchor>
  <xdr:twoCellAnchor>
    <xdr:from>
      <xdr:col>4</xdr:col>
      <xdr:colOff>600075</xdr:colOff>
      <xdr:row>10</xdr:row>
      <xdr:rowOff>57150</xdr:rowOff>
    </xdr:from>
    <xdr:to>
      <xdr:col>6</xdr:col>
      <xdr:colOff>704850</xdr:colOff>
      <xdr:row>12</xdr:row>
      <xdr:rowOff>228600</xdr:rowOff>
    </xdr:to>
    <xdr:sp macro="" textlink="">
      <xdr:nvSpPr>
        <xdr:cNvPr id="16" name="Rectangle 15">
          <a:extLst>
            <a:ext uri="{FF2B5EF4-FFF2-40B4-BE49-F238E27FC236}">
              <a16:creationId xmlns:a16="http://schemas.microsoft.com/office/drawing/2014/main" id="{246CF668-DCC0-4583-86CF-3050A4BF9F28}"/>
            </a:ext>
          </a:extLst>
        </xdr:cNvPr>
        <xdr:cNvSpPr/>
      </xdr:nvSpPr>
      <xdr:spPr>
        <a:xfrm>
          <a:off x="2657475" y="2438400"/>
          <a:ext cx="1781175" cy="6477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solidFill>
          </a:endParaRPr>
        </a:p>
      </xdr:txBody>
    </xdr:sp>
    <xdr:clientData/>
  </xdr:twoCellAnchor>
  <xdr:twoCellAnchor>
    <xdr:from>
      <xdr:col>7</xdr:col>
      <xdr:colOff>771524</xdr:colOff>
      <xdr:row>10</xdr:row>
      <xdr:rowOff>104775</xdr:rowOff>
    </xdr:from>
    <xdr:to>
      <xdr:col>9</xdr:col>
      <xdr:colOff>342899</xdr:colOff>
      <xdr:row>13</xdr:row>
      <xdr:rowOff>38099</xdr:rowOff>
    </xdr:to>
    <xdr:sp macro="" textlink="">
      <xdr:nvSpPr>
        <xdr:cNvPr id="17" name="Rectangle 16">
          <a:extLst>
            <a:ext uri="{FF2B5EF4-FFF2-40B4-BE49-F238E27FC236}">
              <a16:creationId xmlns:a16="http://schemas.microsoft.com/office/drawing/2014/main" id="{A941553B-9C80-490C-A769-AECB222A895B}"/>
            </a:ext>
          </a:extLst>
        </xdr:cNvPr>
        <xdr:cNvSpPr/>
      </xdr:nvSpPr>
      <xdr:spPr>
        <a:xfrm>
          <a:off x="5343524" y="2486025"/>
          <a:ext cx="1247775" cy="6476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i="1">
            <a:solidFill>
              <a:schemeClr val="tx1"/>
            </a:solidFill>
          </a:endParaRPr>
        </a:p>
      </xdr:txBody>
    </xdr:sp>
    <xdr:clientData/>
  </xdr:twoCellAnchor>
  <xdr:twoCellAnchor editAs="oneCell">
    <xdr:from>
      <xdr:col>1</xdr:col>
      <xdr:colOff>1028699</xdr:colOff>
      <xdr:row>1</xdr:row>
      <xdr:rowOff>104775</xdr:rowOff>
    </xdr:from>
    <xdr:to>
      <xdr:col>11</xdr:col>
      <xdr:colOff>422099</xdr:colOff>
      <xdr:row>5</xdr:row>
      <xdr:rowOff>43275</xdr:rowOff>
    </xdr:to>
    <mc:AlternateContent xmlns:mc="http://schemas.openxmlformats.org/markup-compatibility/2006" xmlns:tsle="http://schemas.microsoft.com/office/drawing/2012/timeslicer">
      <mc:Choice Requires="tsle">
        <xdr:graphicFrame macro="">
          <xdr:nvGraphicFramePr>
            <xdr:cNvPr id="18" name="Date 11">
              <a:extLst>
                <a:ext uri="{FF2B5EF4-FFF2-40B4-BE49-F238E27FC236}">
                  <a16:creationId xmlns:a16="http://schemas.microsoft.com/office/drawing/2014/main" id="{1CC160F7-80FE-445E-AA4D-264DC497492A}"/>
                </a:ext>
              </a:extLst>
            </xdr:cNvPr>
            <xdr:cNvGraphicFramePr/>
          </xdr:nvGraphicFramePr>
          <xdr:xfrm>
            <a:off x="0" y="0"/>
            <a:ext cx="0" cy="0"/>
          </xdr:xfrm>
          <a:graphic>
            <a:graphicData uri="http://schemas.microsoft.com/office/drawing/2012/timeslicer">
              <tsle:timeslicer name="Date 11"/>
            </a:graphicData>
          </a:graphic>
        </xdr:graphicFrame>
      </mc:Choice>
      <mc:Fallback xmlns="">
        <xdr:sp macro="" textlink="">
          <xdr:nvSpPr>
            <xdr:cNvPr id="0" name=""/>
            <xdr:cNvSpPr>
              <a:spLocks noTextEdit="1"/>
            </xdr:cNvSpPr>
          </xdr:nvSpPr>
          <xdr:spPr>
            <a:xfrm>
              <a:off x="1866899" y="342900"/>
              <a:ext cx="6480000" cy="891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571499</xdr:colOff>
      <xdr:row>1</xdr:row>
      <xdr:rowOff>76200</xdr:rowOff>
    </xdr:from>
    <xdr:to>
      <xdr:col>15</xdr:col>
      <xdr:colOff>602699</xdr:colOff>
      <xdr:row>5</xdr:row>
      <xdr:rowOff>23700</xdr:rowOff>
    </xdr:to>
    <mc:AlternateContent xmlns:mc="http://schemas.openxmlformats.org/markup-compatibility/2006" xmlns:a14="http://schemas.microsoft.com/office/drawing/2010/main">
      <mc:Choice Requires="a14">
        <xdr:graphicFrame macro="">
          <xdr:nvGraphicFramePr>
            <xdr:cNvPr id="19" name="Region 11">
              <a:extLst>
                <a:ext uri="{FF2B5EF4-FFF2-40B4-BE49-F238E27FC236}">
                  <a16:creationId xmlns:a16="http://schemas.microsoft.com/office/drawing/2014/main" id="{EEC05CF5-9CE0-4639-94D9-6514F7A7C508}"/>
                </a:ext>
              </a:extLst>
            </xdr:cNvPr>
            <xdr:cNvGraphicFramePr/>
          </xdr:nvGraphicFramePr>
          <xdr:xfrm>
            <a:off x="0" y="0"/>
            <a:ext cx="0" cy="0"/>
          </xdr:xfrm>
          <a:graphic>
            <a:graphicData uri="http://schemas.microsoft.com/office/drawing/2010/slicer">
              <sle:slicer xmlns:sle="http://schemas.microsoft.com/office/drawing/2010/slicer" name="Region 11"/>
            </a:graphicData>
          </a:graphic>
        </xdr:graphicFrame>
      </mc:Choice>
      <mc:Fallback xmlns="">
        <xdr:sp macro="" textlink="">
          <xdr:nvSpPr>
            <xdr:cNvPr id="0" name=""/>
            <xdr:cNvSpPr>
              <a:spLocks noTextEdit="1"/>
            </xdr:cNvSpPr>
          </xdr:nvSpPr>
          <xdr:spPr>
            <a:xfrm>
              <a:off x="8496299" y="314325"/>
              <a:ext cx="3384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1038224</xdr:colOff>
      <xdr:row>5</xdr:row>
      <xdr:rowOff>76201</xdr:rowOff>
    </xdr:from>
    <xdr:to>
      <xdr:col>15</xdr:col>
      <xdr:colOff>633149</xdr:colOff>
      <xdr:row>8</xdr:row>
      <xdr:rowOff>9826</xdr:rowOff>
    </xdr:to>
    <mc:AlternateContent xmlns:mc="http://schemas.openxmlformats.org/markup-compatibility/2006" xmlns:a14="http://schemas.microsoft.com/office/drawing/2010/main">
      <mc:Choice Requires="a14">
        <xdr:graphicFrame macro="">
          <xdr:nvGraphicFramePr>
            <xdr:cNvPr id="20" name="Item 11">
              <a:extLst>
                <a:ext uri="{FF2B5EF4-FFF2-40B4-BE49-F238E27FC236}">
                  <a16:creationId xmlns:a16="http://schemas.microsoft.com/office/drawing/2014/main" id="{BD0D293D-448D-485D-B349-3FD093CB74A6}"/>
                </a:ext>
              </a:extLst>
            </xdr:cNvPr>
            <xdr:cNvGraphicFramePr/>
          </xdr:nvGraphicFramePr>
          <xdr:xfrm>
            <a:off x="0" y="0"/>
            <a:ext cx="0" cy="0"/>
          </xdr:xfrm>
          <a:graphic>
            <a:graphicData uri="http://schemas.microsoft.com/office/drawing/2010/slicer">
              <sle:slicer xmlns:sle="http://schemas.microsoft.com/office/drawing/2010/slicer" name="Item 11"/>
            </a:graphicData>
          </a:graphic>
        </xdr:graphicFrame>
      </mc:Choice>
      <mc:Fallback xmlns="">
        <xdr:sp macro="" textlink="">
          <xdr:nvSpPr>
            <xdr:cNvPr id="0" name=""/>
            <xdr:cNvSpPr>
              <a:spLocks noTextEdit="1"/>
            </xdr:cNvSpPr>
          </xdr:nvSpPr>
          <xdr:spPr>
            <a:xfrm>
              <a:off x="1876424" y="1266826"/>
              <a:ext cx="10034325"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28575</xdr:colOff>
      <xdr:row>9</xdr:row>
      <xdr:rowOff>190500</xdr:rowOff>
    </xdr:from>
    <xdr:to>
      <xdr:col>16</xdr:col>
      <xdr:colOff>47626</xdr:colOff>
      <xdr:row>16</xdr:row>
      <xdr:rowOff>76200</xdr:rowOff>
    </xdr:to>
    <xdr:sp macro="" textlink="">
      <xdr:nvSpPr>
        <xdr:cNvPr id="24" name="Rectangle 23">
          <a:extLst>
            <a:ext uri="{FF2B5EF4-FFF2-40B4-BE49-F238E27FC236}">
              <a16:creationId xmlns:a16="http://schemas.microsoft.com/office/drawing/2014/main" id="{5E9A2019-01EC-41EB-ADA1-499539EE5B05}"/>
            </a:ext>
          </a:extLst>
        </xdr:cNvPr>
        <xdr:cNvSpPr/>
      </xdr:nvSpPr>
      <xdr:spPr>
        <a:xfrm>
          <a:off x="7115175" y="2333625"/>
          <a:ext cx="5048251" cy="15525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10</xdr:col>
      <xdr:colOff>38100</xdr:colOff>
      <xdr:row>10</xdr:row>
      <xdr:rowOff>161925</xdr:rowOff>
    </xdr:from>
    <xdr:to>
      <xdr:col>16</xdr:col>
      <xdr:colOff>28575</xdr:colOff>
      <xdr:row>16</xdr:row>
      <xdr:rowOff>80963</xdr:rowOff>
    </xdr:to>
    <xdr:graphicFrame macro="">
      <xdr:nvGraphicFramePr>
        <xdr:cNvPr id="25" name="Chart 24">
          <a:extLst>
            <a:ext uri="{FF2B5EF4-FFF2-40B4-BE49-F238E27FC236}">
              <a16:creationId xmlns:a16="http://schemas.microsoft.com/office/drawing/2014/main" id="{E197DB76-398B-4A81-8C22-D6A1A1C30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76199</xdr:colOff>
      <xdr:row>17</xdr:row>
      <xdr:rowOff>209549</xdr:rowOff>
    </xdr:from>
    <xdr:to>
      <xdr:col>16</xdr:col>
      <xdr:colOff>76200</xdr:colOff>
      <xdr:row>23</xdr:row>
      <xdr:rowOff>57150</xdr:rowOff>
    </xdr:to>
    <xdr:graphicFrame macro="">
      <xdr:nvGraphicFramePr>
        <xdr:cNvPr id="29" name="Chart 28">
          <a:extLst>
            <a:ext uri="{FF2B5EF4-FFF2-40B4-BE49-F238E27FC236}">
              <a16:creationId xmlns:a16="http://schemas.microsoft.com/office/drawing/2014/main" id="{3EFB6739-E798-4A6E-8F82-B8BFC23BA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57150</xdr:colOff>
      <xdr:row>9</xdr:row>
      <xdr:rowOff>161925</xdr:rowOff>
    </xdr:from>
    <xdr:to>
      <xdr:col>13</xdr:col>
      <xdr:colOff>76200</xdr:colOff>
      <xdr:row>14</xdr:row>
      <xdr:rowOff>57150</xdr:rowOff>
    </xdr:to>
    <xdr:sp macro="" textlink="">
      <xdr:nvSpPr>
        <xdr:cNvPr id="31" name="Rectangle 30">
          <a:extLst>
            <a:ext uri="{FF2B5EF4-FFF2-40B4-BE49-F238E27FC236}">
              <a16:creationId xmlns:a16="http://schemas.microsoft.com/office/drawing/2014/main" id="{6E830CD7-CC69-7769-98F0-C1E7E6ED87C2}"/>
            </a:ext>
          </a:extLst>
        </xdr:cNvPr>
        <xdr:cNvSpPr/>
      </xdr:nvSpPr>
      <xdr:spPr>
        <a:xfrm>
          <a:off x="7143750" y="2305050"/>
          <a:ext cx="2533650" cy="1085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a:solidFill>
                <a:schemeClr val="tx1"/>
              </a:solidFill>
            </a:rPr>
            <a:t>Top Performing 3 Salesman :</a:t>
          </a:r>
        </a:p>
      </xdr:txBody>
    </xdr:sp>
    <xdr:clientData/>
  </xdr:twoCellAnchor>
  <xdr:twoCellAnchor>
    <xdr:from>
      <xdr:col>1</xdr:col>
      <xdr:colOff>1123950</xdr:colOff>
      <xdr:row>12</xdr:row>
      <xdr:rowOff>133350</xdr:rowOff>
    </xdr:from>
    <xdr:to>
      <xdr:col>9</xdr:col>
      <xdr:colOff>619125</xdr:colOff>
      <xdr:row>23</xdr:row>
      <xdr:rowOff>85724</xdr:rowOff>
    </xdr:to>
    <xdr:graphicFrame macro="">
      <xdr:nvGraphicFramePr>
        <xdr:cNvPr id="32" name="Chart 31">
          <a:extLst>
            <a:ext uri="{FF2B5EF4-FFF2-40B4-BE49-F238E27FC236}">
              <a16:creationId xmlns:a16="http://schemas.microsoft.com/office/drawing/2014/main" id="{6A0395E9-38F7-442C-AE0E-08701C4F1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314325</xdr:colOff>
      <xdr:row>22</xdr:row>
      <xdr:rowOff>161925</xdr:rowOff>
    </xdr:from>
    <xdr:to>
      <xdr:col>4</xdr:col>
      <xdr:colOff>9525</xdr:colOff>
      <xdr:row>25</xdr:row>
      <xdr:rowOff>104774</xdr:rowOff>
    </xdr:to>
    <xdr:sp macro="" textlink="">
      <xdr:nvSpPr>
        <xdr:cNvPr id="34" name="Rectangle 33">
          <a:extLst>
            <a:ext uri="{FF2B5EF4-FFF2-40B4-BE49-F238E27FC236}">
              <a16:creationId xmlns:a16="http://schemas.microsoft.com/office/drawing/2014/main" id="{F62A77BA-3E57-99AE-CA40-B8B5BCEBA132}"/>
            </a:ext>
          </a:extLst>
        </xdr:cNvPr>
        <xdr:cNvSpPr/>
      </xdr:nvSpPr>
      <xdr:spPr>
        <a:xfrm>
          <a:off x="314325" y="5400675"/>
          <a:ext cx="1752600" cy="6572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1"/>
            <a:t>Created</a:t>
          </a:r>
          <a:r>
            <a:rPr lang="en-IN" sz="1100" b="1" i="1" baseline="0"/>
            <a:t> By :</a:t>
          </a:r>
        </a:p>
        <a:p>
          <a:pPr algn="l"/>
          <a:r>
            <a:rPr lang="en-IN" sz="1100" b="1" i="1" baseline="0"/>
            <a:t>INNAMA AKHTAR</a:t>
          </a:r>
          <a:endParaRPr lang="en-IN" sz="1100" b="1" i="1"/>
        </a:p>
      </xdr:txBody>
    </xdr:sp>
    <xdr:clientData/>
  </xdr:twoCellAnchor>
  <xdr:twoCellAnchor>
    <xdr:from>
      <xdr:col>5</xdr:col>
      <xdr:colOff>571499</xdr:colOff>
      <xdr:row>8</xdr:row>
      <xdr:rowOff>57150</xdr:rowOff>
    </xdr:from>
    <xdr:to>
      <xdr:col>7</xdr:col>
      <xdr:colOff>752475</xdr:colOff>
      <xdr:row>11</xdr:row>
      <xdr:rowOff>66675</xdr:rowOff>
    </xdr:to>
    <xdr:sp macro="" textlink="">
      <xdr:nvSpPr>
        <xdr:cNvPr id="4" name="Rectangle: Rounded Corners 3">
          <a:extLst>
            <a:ext uri="{FF2B5EF4-FFF2-40B4-BE49-F238E27FC236}">
              <a16:creationId xmlns:a16="http://schemas.microsoft.com/office/drawing/2014/main" id="{CDB8894E-8231-BFE4-0159-9E3D2FE8704B}"/>
            </a:ext>
          </a:extLst>
        </xdr:cNvPr>
        <xdr:cNvSpPr/>
      </xdr:nvSpPr>
      <xdr:spPr>
        <a:xfrm>
          <a:off x="3467099" y="1962150"/>
          <a:ext cx="1857376" cy="7239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5</xdr:col>
      <xdr:colOff>638175</xdr:colOff>
      <xdr:row>8</xdr:row>
      <xdr:rowOff>66675</xdr:rowOff>
    </xdr:from>
    <xdr:to>
      <xdr:col>7</xdr:col>
      <xdr:colOff>714375</xdr:colOff>
      <xdr:row>11</xdr:row>
      <xdr:rowOff>76200</xdr:rowOff>
    </xdr:to>
    <xdr:sp macro="" textlink="">
      <xdr:nvSpPr>
        <xdr:cNvPr id="7" name="Rectangle: Rounded Corners 6">
          <a:extLst>
            <a:ext uri="{FF2B5EF4-FFF2-40B4-BE49-F238E27FC236}">
              <a16:creationId xmlns:a16="http://schemas.microsoft.com/office/drawing/2014/main" id="{5B5A4F53-52BD-489B-80EE-7CD8B830A373}"/>
            </a:ext>
          </a:extLst>
        </xdr:cNvPr>
        <xdr:cNvSpPr/>
      </xdr:nvSpPr>
      <xdr:spPr>
        <a:xfrm>
          <a:off x="3533775" y="1971675"/>
          <a:ext cx="1752600" cy="723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oneCellAnchor>
    <xdr:from>
      <xdr:col>6</xdr:col>
      <xdr:colOff>600075</xdr:colOff>
      <xdr:row>8</xdr:row>
      <xdr:rowOff>171450</xdr:rowOff>
    </xdr:from>
    <xdr:ext cx="496674" cy="342786"/>
    <xdr:sp macro="" textlink="'PIVOT TABLE'!X16">
      <xdr:nvSpPr>
        <xdr:cNvPr id="21" name="TextBox 20">
          <a:extLst>
            <a:ext uri="{FF2B5EF4-FFF2-40B4-BE49-F238E27FC236}">
              <a16:creationId xmlns:a16="http://schemas.microsoft.com/office/drawing/2014/main" id="{2D0BBC72-7917-2FD4-7671-4E06F10E9A20}"/>
            </a:ext>
          </a:extLst>
        </xdr:cNvPr>
        <xdr:cNvSpPr txBox="1"/>
      </xdr:nvSpPr>
      <xdr:spPr>
        <a:xfrm>
          <a:off x="4333875" y="2076450"/>
          <a:ext cx="49667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8A5DBD3-4093-473F-97F2-C3F0778008C3}" type="TxLink">
            <a:rPr lang="en-US" sz="1600" b="1" i="0" u="none" strike="noStrike">
              <a:solidFill>
                <a:srgbClr val="000000"/>
              </a:solidFill>
              <a:latin typeface="Calibri"/>
              <a:cs typeface="Calibri"/>
            </a:rPr>
            <a:pPr/>
            <a:t>366</a:t>
          </a:fld>
          <a:endParaRPr lang="en-IN" sz="1600" b="1"/>
        </a:p>
      </xdr:txBody>
    </xdr:sp>
    <xdr:clientData/>
  </xdr:oneCellAnchor>
  <xdr:oneCellAnchor>
    <xdr:from>
      <xdr:col>6</xdr:col>
      <xdr:colOff>314325</xdr:colOff>
      <xdr:row>9</xdr:row>
      <xdr:rowOff>180975</xdr:rowOff>
    </xdr:from>
    <xdr:ext cx="1319272" cy="311496"/>
    <xdr:sp macro="" textlink="">
      <xdr:nvSpPr>
        <xdr:cNvPr id="22" name="TextBox 21">
          <a:extLst>
            <a:ext uri="{FF2B5EF4-FFF2-40B4-BE49-F238E27FC236}">
              <a16:creationId xmlns:a16="http://schemas.microsoft.com/office/drawing/2014/main" id="{B4C00EC1-9057-4639-93DB-082947DE236C}"/>
            </a:ext>
          </a:extLst>
        </xdr:cNvPr>
        <xdr:cNvSpPr txBox="1"/>
      </xdr:nvSpPr>
      <xdr:spPr>
        <a:xfrm>
          <a:off x="4048125" y="2324100"/>
          <a:ext cx="13192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i="1"/>
            <a:t>Total</a:t>
          </a:r>
          <a:r>
            <a:rPr lang="en-IN" sz="1200" b="1" i="1"/>
            <a:t> </a:t>
          </a:r>
          <a:r>
            <a:rPr lang="en-IN" sz="1400" b="1" i="1"/>
            <a:t>Salesman</a:t>
          </a:r>
        </a:p>
      </xdr:txBody>
    </xdr:sp>
    <xdr:clientData/>
  </xdr:oneCellAnchor>
  <xdr:twoCellAnchor editAs="oneCell">
    <xdr:from>
      <xdr:col>5</xdr:col>
      <xdr:colOff>733426</xdr:colOff>
      <xdr:row>8</xdr:row>
      <xdr:rowOff>200026</xdr:rowOff>
    </xdr:from>
    <xdr:to>
      <xdr:col>6</xdr:col>
      <xdr:colOff>371474</xdr:colOff>
      <xdr:row>10</xdr:row>
      <xdr:rowOff>161925</xdr:rowOff>
    </xdr:to>
    <xdr:pic>
      <xdr:nvPicPr>
        <xdr:cNvPr id="33" name="Picture 32">
          <a:extLst>
            <a:ext uri="{FF2B5EF4-FFF2-40B4-BE49-F238E27FC236}">
              <a16:creationId xmlns:a16="http://schemas.microsoft.com/office/drawing/2014/main" id="{D003C9F4-904A-C0C5-36F8-C376D883E4A5}"/>
            </a:ext>
          </a:extLst>
        </xdr:cNvPr>
        <xdr:cNvPicPr>
          <a:picLocks noChangeAspect="1"/>
        </xdr:cNvPicPr>
      </xdr:nvPicPr>
      <xdr:blipFill>
        <a:blip xmlns:r="http://schemas.openxmlformats.org/officeDocument/2006/relationships" r:embed="rId10"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3629026" y="2105026"/>
          <a:ext cx="476248" cy="438149"/>
        </a:xfrm>
        <a:prstGeom prst="rect">
          <a:avLst/>
        </a:prstGeom>
      </xdr:spPr>
    </xdr:pic>
    <xdr:clientData/>
  </xdr:twoCellAnchor>
  <xdr:twoCellAnchor>
    <xdr:from>
      <xdr:col>0</xdr:col>
      <xdr:colOff>152399</xdr:colOff>
      <xdr:row>1</xdr:row>
      <xdr:rowOff>85726</xdr:rowOff>
    </xdr:from>
    <xdr:to>
      <xdr:col>1</xdr:col>
      <xdr:colOff>826199</xdr:colOff>
      <xdr:row>4</xdr:row>
      <xdr:rowOff>84062</xdr:rowOff>
    </xdr:to>
    <xdr:grpSp>
      <xdr:nvGrpSpPr>
        <xdr:cNvPr id="23" name="Group 22">
          <a:extLst>
            <a:ext uri="{FF2B5EF4-FFF2-40B4-BE49-F238E27FC236}">
              <a16:creationId xmlns:a16="http://schemas.microsoft.com/office/drawing/2014/main" id="{928CD080-A585-E6AD-89E2-2C4E525C3AF5}"/>
            </a:ext>
          </a:extLst>
        </xdr:cNvPr>
        <xdr:cNvGrpSpPr/>
      </xdr:nvGrpSpPr>
      <xdr:grpSpPr>
        <a:xfrm>
          <a:off x="152399" y="323851"/>
          <a:ext cx="1507238" cy="712711"/>
          <a:chOff x="-89692" y="-9525"/>
          <a:chExt cx="1634002" cy="712711"/>
        </a:xfrm>
        <a:scene3d>
          <a:camera prst="orthographicFront"/>
          <a:lightRig rig="threePt" dir="t">
            <a:rot lat="0" lon="0" rev="7500000"/>
          </a:lightRig>
        </a:scene3d>
      </xdr:grpSpPr>
      <xdr:sp macro="" textlink="">
        <xdr:nvSpPr>
          <xdr:cNvPr id="26" name="Rectangle 25">
            <a:extLst>
              <a:ext uri="{FF2B5EF4-FFF2-40B4-BE49-F238E27FC236}">
                <a16:creationId xmlns:a16="http://schemas.microsoft.com/office/drawing/2014/main" id="{4965E1A3-EC52-B2DE-8271-B2AFE4179F24}"/>
              </a:ext>
            </a:extLst>
          </xdr:cNvPr>
          <xdr:cNvSpPr/>
        </xdr:nvSpPr>
        <xdr:spPr>
          <a:xfrm>
            <a:off x="0" y="0"/>
            <a:ext cx="1544310" cy="703186"/>
          </a:xfrm>
          <a:prstGeom prst="rect">
            <a:avLst/>
          </a:prstGeom>
          <a:sp3d prstMaterial="plastic">
            <a:bevelT w="127000" h="25400" prst="relaxedInset"/>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sp>
      <xdr:sp macro="" textlink="">
        <xdr:nvSpPr>
          <xdr:cNvPr id="27" name="TextBox 26">
            <a:extLst>
              <a:ext uri="{FF2B5EF4-FFF2-40B4-BE49-F238E27FC236}">
                <a16:creationId xmlns:a16="http://schemas.microsoft.com/office/drawing/2014/main" id="{40B316FB-75B5-70F6-B634-61AA13B4EB65}"/>
              </a:ext>
            </a:extLst>
          </xdr:cNvPr>
          <xdr:cNvSpPr txBox="1"/>
        </xdr:nvSpPr>
        <xdr:spPr>
          <a:xfrm>
            <a:off x="-89692" y="-9525"/>
            <a:ext cx="1544310" cy="703186"/>
          </a:xfrm>
          <a:prstGeom prst="rect">
            <a:avLst/>
          </a:prstGeom>
          <a:sp3d/>
        </xdr:spPr>
        <xdr:style>
          <a:lnRef idx="0">
            <a:scrgbClr r="0" g="0" b="0"/>
          </a:lnRef>
          <a:fillRef idx="0">
            <a:scrgbClr r="0" g="0" b="0"/>
          </a:fillRef>
          <a:effectRef idx="0">
            <a:scrgbClr r="0" g="0" b="0"/>
          </a:effectRef>
          <a:fontRef idx="minor">
            <a:schemeClr val="dk1">
              <a:hueOff val="0"/>
              <a:satOff val="0"/>
              <a:lumOff val="0"/>
              <a:alphaOff val="0"/>
            </a:schemeClr>
          </a:fontRef>
        </xdr:style>
        <xdr: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600" b="1" i="1" kern="1200">
                <a:solidFill>
                  <a:schemeClr val="accent1"/>
                </a:solidFill>
              </a:rPr>
              <a:t>SALES DASHBOARD</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152400</xdr:colOff>
      <xdr:row>1</xdr:row>
      <xdr:rowOff>19047</xdr:rowOff>
    </xdr:from>
    <xdr:to>
      <xdr:col>18</xdr:col>
      <xdr:colOff>110254</xdr:colOff>
      <xdr:row>42</xdr:row>
      <xdr:rowOff>0</xdr:rowOff>
    </xdr:to>
    <xdr:sp macro="" textlink="">
      <xdr:nvSpPr>
        <xdr:cNvPr id="2" name="Rectangle: Rounded Corners 1">
          <a:extLst>
            <a:ext uri="{FF2B5EF4-FFF2-40B4-BE49-F238E27FC236}">
              <a16:creationId xmlns:a16="http://schemas.microsoft.com/office/drawing/2014/main" id="{F787C9A6-3C64-5575-9771-AF6E6F92CED6}"/>
            </a:ext>
          </a:extLst>
        </xdr:cNvPr>
        <xdr:cNvSpPr/>
      </xdr:nvSpPr>
      <xdr:spPr>
        <a:xfrm>
          <a:off x="152400" y="262980"/>
          <a:ext cx="15012000" cy="9982203"/>
        </a:xfrm>
        <a:prstGeom prst="roundRect">
          <a:avLst>
            <a:gd name="adj" fmla="val 254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696312</xdr:colOff>
      <xdr:row>1</xdr:row>
      <xdr:rowOff>65743</xdr:rowOff>
    </xdr:from>
    <xdr:to>
      <xdr:col>17</xdr:col>
      <xdr:colOff>823190</xdr:colOff>
      <xdr:row>41</xdr:row>
      <xdr:rowOff>185854</xdr:rowOff>
    </xdr:to>
    <xdr:sp macro="" textlink="">
      <xdr:nvSpPr>
        <xdr:cNvPr id="3" name="Rectangle: Rounded Corners 2">
          <a:extLst>
            <a:ext uri="{FF2B5EF4-FFF2-40B4-BE49-F238E27FC236}">
              <a16:creationId xmlns:a16="http://schemas.microsoft.com/office/drawing/2014/main" id="{906B08F0-172C-FC7F-8FB1-8CE6A226D2D2}"/>
            </a:ext>
          </a:extLst>
        </xdr:cNvPr>
        <xdr:cNvSpPr/>
      </xdr:nvSpPr>
      <xdr:spPr>
        <a:xfrm>
          <a:off x="2368995" y="309676"/>
          <a:ext cx="12672000" cy="9877428"/>
        </a:xfrm>
        <a:prstGeom prst="roundRect">
          <a:avLst>
            <a:gd name="adj" fmla="val 3127"/>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5" algn="l"/>
          <a:r>
            <a:rPr lang="en-IN" sz="2000" b="1"/>
            <a:t>                          </a:t>
          </a:r>
          <a:r>
            <a:rPr lang="en-IN" sz="2000" b="1">
              <a:solidFill>
                <a:schemeClr val="tx1"/>
              </a:solidFill>
            </a:rPr>
            <a:t>ABOUT</a:t>
          </a:r>
          <a:r>
            <a:rPr lang="en-IN" sz="2000" b="1" baseline="0">
              <a:solidFill>
                <a:schemeClr val="tx1"/>
              </a:solidFill>
            </a:rPr>
            <a:t> THE PROJECT     </a:t>
          </a:r>
        </a:p>
        <a:p>
          <a:pPr lvl="5" algn="l"/>
          <a:endParaRPr lang="en-IN" sz="2000" b="1" baseline="0">
            <a:solidFill>
              <a:schemeClr val="tx1"/>
            </a:solidFill>
          </a:endParaRPr>
        </a:p>
        <a:p>
          <a:pPr lvl="2" algn="l"/>
          <a:endParaRPr lang="en-IN" sz="2000" b="1" baseline="0">
            <a:solidFill>
              <a:schemeClr val="tx1"/>
            </a:solidFill>
          </a:endParaRPr>
        </a:p>
        <a:p>
          <a:pPr lvl="2" algn="l"/>
          <a:r>
            <a:rPr lang="en-IN" sz="1600" b="1" baseline="0">
              <a:solidFill>
                <a:schemeClr val="tx1"/>
              </a:solidFill>
            </a:rPr>
            <a:t>Sales Analytics Dashboard</a:t>
          </a:r>
        </a:p>
        <a:p>
          <a:pPr lvl="2" algn="l"/>
          <a:endParaRPr lang="en-IN" sz="1600" b="1" baseline="0">
            <a:solidFill>
              <a:schemeClr val="tx1"/>
            </a:solidFill>
          </a:endParaRPr>
        </a:p>
        <a:p>
          <a:pPr marL="457200" marR="0" lvl="1" indent="0" algn="l" defTabSz="914400" rtl="0" eaLnBrk="1" fontAlgn="auto" latinLnBrk="0" hangingPunct="1">
            <a:lnSpc>
              <a:spcPct val="100000"/>
            </a:lnSpc>
            <a:spcBef>
              <a:spcPts val="0"/>
            </a:spcBef>
            <a:spcAft>
              <a:spcPts val="0"/>
            </a:spcAft>
            <a:buClrTx/>
            <a:buSzTx/>
            <a:buFontTx/>
            <a:buNone/>
            <a:tabLst/>
            <a:defRPr/>
          </a:pPr>
          <a:r>
            <a:rPr lang="en-IN" sz="1200" b="1" i="1" baseline="0">
              <a:solidFill>
                <a:schemeClr val="tx1"/>
              </a:solidFill>
              <a:effectLst/>
              <a:latin typeface="+mn-lt"/>
              <a:ea typeface="+mn-ea"/>
              <a:cs typeface="+mn-cs"/>
            </a:rPr>
            <a:t>This interactive Sales Analytics Dashboard is developed using Microsoft Excel to analyze sales performance across products, regions, months, and salespeople.</a:t>
          </a:r>
        </a:p>
        <a:p>
          <a:pPr marL="457200" marR="0" lvl="1" indent="0" algn="l" defTabSz="914400" rtl="0" eaLnBrk="1" fontAlgn="auto" latinLnBrk="0" hangingPunct="1">
            <a:lnSpc>
              <a:spcPct val="100000"/>
            </a:lnSpc>
            <a:spcBef>
              <a:spcPts val="0"/>
            </a:spcBef>
            <a:spcAft>
              <a:spcPts val="0"/>
            </a:spcAft>
            <a:buClrTx/>
            <a:buSzTx/>
            <a:buFontTx/>
            <a:buNone/>
            <a:tabLst/>
            <a:defRPr/>
          </a:pPr>
          <a:endParaRPr lang="en-IN" sz="1200" b="1" i="1" baseline="0">
            <a:solidFill>
              <a:schemeClr val="tx1"/>
            </a:solidFill>
            <a:effectLst/>
            <a:latin typeface="+mn-lt"/>
            <a:ea typeface="+mn-ea"/>
            <a:cs typeface="+mn-cs"/>
          </a:endParaRPr>
        </a:p>
        <a:p>
          <a:pPr marL="457200" marR="0" lvl="1" indent="0" algn="l" defTabSz="914400" rtl="0" eaLnBrk="1" fontAlgn="auto" latinLnBrk="0" hangingPunct="1">
            <a:lnSpc>
              <a:spcPct val="100000"/>
            </a:lnSpc>
            <a:spcBef>
              <a:spcPts val="0"/>
            </a:spcBef>
            <a:spcAft>
              <a:spcPts val="0"/>
            </a:spcAft>
            <a:buClrTx/>
            <a:buSzTx/>
            <a:buFontTx/>
            <a:buNone/>
            <a:tabLst/>
            <a:defRPr/>
          </a:pPr>
          <a:r>
            <a:rPr lang="en-IN" sz="1600" b="1" i="0" baseline="0">
              <a:solidFill>
                <a:schemeClr val="tx1"/>
              </a:solidFill>
              <a:effectLst/>
              <a:latin typeface="+mn-lt"/>
              <a:ea typeface="+mn-ea"/>
              <a:cs typeface="+mn-cs"/>
            </a:rPr>
            <a:t>🎯  Project Objective</a:t>
          </a:r>
        </a:p>
        <a:p>
          <a:pPr marL="457200" marR="0" lvl="1" indent="0" algn="l" defTabSz="914400" rtl="0" eaLnBrk="1" fontAlgn="auto" latinLnBrk="0" hangingPunct="1">
            <a:lnSpc>
              <a:spcPct val="100000"/>
            </a:lnSpc>
            <a:spcBef>
              <a:spcPts val="0"/>
            </a:spcBef>
            <a:spcAft>
              <a:spcPts val="0"/>
            </a:spcAft>
            <a:buClrTx/>
            <a:buSzTx/>
            <a:buFontTx/>
            <a:buNone/>
            <a:tabLst/>
            <a:defRPr/>
          </a:pPr>
          <a:endParaRPr lang="en-IN" sz="1600" b="1" i="0" baseline="0">
            <a:solidFill>
              <a:schemeClr val="tx1"/>
            </a:solidFill>
            <a:effectLst/>
            <a:latin typeface="+mn-lt"/>
            <a:ea typeface="+mn-ea"/>
            <a:cs typeface="+mn-cs"/>
          </a:endParaRPr>
        </a:p>
        <a:p>
          <a:pPr marL="457200" marR="0" lvl="1" indent="0" algn="l" defTabSz="914400" rtl="0" eaLnBrk="1" fontAlgn="auto" latinLnBrk="0" hangingPunct="1">
            <a:lnSpc>
              <a:spcPct val="100000"/>
            </a:lnSpc>
            <a:spcBef>
              <a:spcPts val="0"/>
            </a:spcBef>
            <a:spcAft>
              <a:spcPts val="0"/>
            </a:spcAft>
            <a:buClrTx/>
            <a:buSzTx/>
            <a:buFontTx/>
            <a:buNone/>
            <a:tabLst/>
            <a:defRPr/>
          </a:pPr>
          <a:r>
            <a:rPr lang="en-IN" sz="1200" b="1" i="1" baseline="0">
              <a:solidFill>
                <a:schemeClr val="tx1"/>
              </a:solidFill>
              <a:effectLst/>
              <a:latin typeface="+mn-lt"/>
              <a:ea typeface="+mn-ea"/>
              <a:cs typeface="+mn-cs"/>
            </a:rPr>
            <a:t>The main objective of this dashboard is to transform raw sales data into meaningful insights that help understand business performance and support data-driven decision-making.</a:t>
          </a:r>
          <a:endParaRPr lang="en-IN" sz="1800" b="1" i="1">
            <a:solidFill>
              <a:schemeClr val="tx1"/>
            </a:solidFill>
            <a:effectLst/>
          </a:endParaRPr>
        </a:p>
        <a:p>
          <a:pPr marL="457200" marR="0" lvl="1" indent="0" algn="l" defTabSz="914400" rtl="0" eaLnBrk="1" fontAlgn="auto" latinLnBrk="0" hangingPunct="1">
            <a:lnSpc>
              <a:spcPct val="100000"/>
            </a:lnSpc>
            <a:spcBef>
              <a:spcPts val="0"/>
            </a:spcBef>
            <a:spcAft>
              <a:spcPts val="0"/>
            </a:spcAft>
            <a:buClrTx/>
            <a:buSzTx/>
            <a:buFontTx/>
            <a:buNone/>
            <a:tabLst/>
            <a:defRPr/>
          </a:pPr>
          <a:endParaRPr lang="en-IN" sz="1800" b="1" i="1">
            <a:solidFill>
              <a:schemeClr val="tx1"/>
            </a:solidFill>
            <a:effectLst/>
          </a:endParaRPr>
        </a:p>
        <a:p>
          <a:pPr rtl="0"/>
          <a:r>
            <a:rPr lang="en-IN" sz="1600" b="1">
              <a:solidFill>
                <a:schemeClr val="tx1"/>
              </a:solidFill>
              <a:effectLst/>
            </a:rPr>
            <a:t>          </a:t>
          </a:r>
          <a:r>
            <a:rPr lang="en-IN" sz="1600" b="1" i="0" baseline="0">
              <a:solidFill>
                <a:schemeClr val="tx1"/>
              </a:solidFill>
              <a:effectLst/>
              <a:latin typeface="+mn-lt"/>
              <a:ea typeface="+mn-ea"/>
              <a:cs typeface="+mn-cs"/>
            </a:rPr>
            <a:t>📈 Key Insights</a:t>
          </a:r>
        </a:p>
        <a:p>
          <a:pPr rtl="0"/>
          <a:endParaRPr lang="en-IN" sz="1600" b="1">
            <a:solidFill>
              <a:schemeClr val="tx1"/>
            </a:solidFill>
            <a:effectLst/>
          </a:endParaRPr>
        </a:p>
        <a:p>
          <a:pPr lvl="1" algn="l" rtl="0"/>
          <a:r>
            <a:rPr lang="en-IN" sz="1400" b="0" i="0" baseline="0">
              <a:solidFill>
                <a:schemeClr val="tx1"/>
              </a:solidFill>
              <a:effectLst/>
              <a:latin typeface="+mn-lt"/>
              <a:ea typeface="+mn-ea"/>
              <a:cs typeface="+mn-cs"/>
            </a:rPr>
            <a:t>        </a:t>
          </a:r>
          <a:r>
            <a:rPr lang="en-IN" sz="1400" b="1" i="1" baseline="0">
              <a:solidFill>
                <a:schemeClr val="tx1"/>
              </a:solidFill>
              <a:effectLst/>
              <a:latin typeface="+mn-lt"/>
              <a:ea typeface="+mn-ea"/>
              <a:cs typeface="+mn-cs"/>
            </a:rPr>
            <a:t>. Total Sales Amount: ₹17,82,570</a:t>
          </a:r>
          <a:endParaRPr lang="en-IN" sz="1400" b="1" i="1">
            <a:solidFill>
              <a:schemeClr val="tx1"/>
            </a:solidFill>
            <a:effectLst/>
          </a:endParaRPr>
        </a:p>
        <a:p>
          <a:pPr lvl="1" algn="l" rtl="0"/>
          <a:r>
            <a:rPr lang="en-IN" sz="1400" b="1" i="1" baseline="0">
              <a:solidFill>
                <a:schemeClr val="tx1"/>
              </a:solidFill>
              <a:effectLst/>
              <a:latin typeface="+mn-lt"/>
              <a:ea typeface="+mn-ea"/>
              <a:cs typeface="+mn-cs"/>
            </a:rPr>
            <a:t>        . Total Sales: 366</a:t>
          </a:r>
          <a:endParaRPr lang="en-IN" sz="1400" b="1" i="1">
            <a:solidFill>
              <a:schemeClr val="tx1"/>
            </a:solidFill>
            <a:effectLst/>
          </a:endParaRPr>
        </a:p>
        <a:p>
          <a:pPr lvl="1" algn="l" rtl="0"/>
          <a:r>
            <a:rPr lang="en-IN" sz="1400" b="1" i="1" baseline="0">
              <a:solidFill>
                <a:schemeClr val="tx1"/>
              </a:solidFill>
              <a:effectLst/>
              <a:latin typeface="+mn-lt"/>
              <a:ea typeface="+mn-ea"/>
              <a:cs typeface="+mn-cs"/>
            </a:rPr>
            <a:t>        . Total Quantity Sold: 1,607</a:t>
          </a:r>
          <a:endParaRPr lang="en-IN" sz="1400" b="1" i="1">
            <a:solidFill>
              <a:schemeClr val="tx1"/>
            </a:solidFill>
            <a:effectLst/>
          </a:endParaRPr>
        </a:p>
        <a:p>
          <a:pPr lvl="1" algn="l" rtl="0"/>
          <a:r>
            <a:rPr lang="en-IN" sz="1400" b="1" i="1" baseline="0">
              <a:solidFill>
                <a:schemeClr val="tx1"/>
              </a:solidFill>
              <a:effectLst/>
              <a:latin typeface="+mn-lt"/>
              <a:ea typeface="+mn-ea"/>
              <a:cs typeface="+mn-cs"/>
            </a:rPr>
            <a:t>        . Top-Selling Product: Printer</a:t>
          </a:r>
          <a:endParaRPr lang="en-IN" sz="1400" b="1" i="1">
            <a:solidFill>
              <a:schemeClr val="tx1"/>
            </a:solidFill>
            <a:effectLst/>
          </a:endParaRPr>
        </a:p>
        <a:p>
          <a:pPr lvl="1" algn="l" rtl="0"/>
          <a:r>
            <a:rPr lang="en-IN" sz="1400" b="1" i="1" baseline="0">
              <a:solidFill>
                <a:schemeClr val="tx1"/>
              </a:solidFill>
              <a:effectLst/>
              <a:latin typeface="+mn-lt"/>
              <a:ea typeface="+mn-ea"/>
              <a:cs typeface="+mn-cs"/>
            </a:rPr>
            <a:t>        . Highest Sales Region: East</a:t>
          </a:r>
          <a:endParaRPr lang="en-IN" sz="1400" b="1" i="1">
            <a:solidFill>
              <a:schemeClr val="tx1"/>
            </a:solidFill>
            <a:effectLst/>
          </a:endParaRPr>
        </a:p>
        <a:p>
          <a:pPr lvl="1" algn="l" rtl="0"/>
          <a:r>
            <a:rPr lang="en-IN" sz="1400" b="1" i="1" baseline="0">
              <a:solidFill>
                <a:schemeClr val="tx1"/>
              </a:solidFill>
              <a:effectLst/>
              <a:latin typeface="+mn-lt"/>
              <a:ea typeface="+mn-ea"/>
              <a:cs typeface="+mn-cs"/>
            </a:rPr>
            <a:t>        . Top-Performing Salesperson: Siddhu</a:t>
          </a:r>
          <a:endParaRPr lang="en-IN" sz="1400" b="1" i="1">
            <a:solidFill>
              <a:schemeClr val="tx1"/>
            </a:solidFill>
            <a:effectLst/>
          </a:endParaRPr>
        </a:p>
        <a:p>
          <a:pPr marL="457200" marR="0" lvl="1" indent="0" algn="l" defTabSz="914400" rtl="0" eaLnBrk="1" fontAlgn="auto" latinLnBrk="0" hangingPunct="1">
            <a:lnSpc>
              <a:spcPct val="100000"/>
            </a:lnSpc>
            <a:spcBef>
              <a:spcPts val="0"/>
            </a:spcBef>
            <a:spcAft>
              <a:spcPts val="0"/>
            </a:spcAft>
            <a:buClrTx/>
            <a:buSzTx/>
            <a:buFontTx/>
            <a:buNone/>
            <a:tabLst/>
            <a:defRPr/>
          </a:pPr>
          <a:endParaRPr lang="en-IN" sz="1200" b="1" i="1">
            <a:solidFill>
              <a:schemeClr val="tx1"/>
            </a:solidFill>
            <a:effectLst/>
          </a:endParaRPr>
        </a:p>
        <a:p>
          <a:pPr lvl="1" rtl="0"/>
          <a:r>
            <a:rPr lang="en-IN" sz="1400" b="1" i="0" baseline="0">
              <a:solidFill>
                <a:schemeClr val="tx1"/>
              </a:solidFill>
              <a:effectLst/>
              <a:latin typeface="+mn-lt"/>
              <a:ea typeface="+mn-ea"/>
              <a:cs typeface="+mn-cs"/>
            </a:rPr>
            <a:t>🔍 What This Dashboard Analyzes</a:t>
          </a:r>
        </a:p>
        <a:p>
          <a:pPr lvl="1" rtl="0"/>
          <a:endParaRPr lang="en-IN" sz="1400" b="1" i="0" baseline="0">
            <a:solidFill>
              <a:schemeClr val="tx1"/>
            </a:solidFill>
            <a:effectLst/>
            <a:latin typeface="+mn-lt"/>
            <a:ea typeface="+mn-ea"/>
            <a:cs typeface="+mn-cs"/>
          </a:endParaRPr>
        </a:p>
        <a:p>
          <a:pPr lvl="2" rtl="0"/>
          <a:r>
            <a:rPr lang="en-IN" sz="1400" b="1" i="1" baseline="0">
              <a:solidFill>
                <a:schemeClr val="tx1"/>
              </a:solidFill>
              <a:effectLst/>
              <a:latin typeface="+mn-lt"/>
              <a:ea typeface="+mn-ea"/>
              <a:cs typeface="+mn-cs"/>
            </a:rPr>
            <a:t>. Monthly sales trends</a:t>
          </a:r>
          <a:endParaRPr lang="en-IN" sz="1400" b="1" i="1">
            <a:solidFill>
              <a:schemeClr val="tx1"/>
            </a:solidFill>
            <a:effectLst/>
          </a:endParaRPr>
        </a:p>
        <a:p>
          <a:pPr lvl="2" rtl="0"/>
          <a:r>
            <a:rPr lang="en-IN" sz="1400" b="1" i="1" baseline="0">
              <a:solidFill>
                <a:schemeClr val="tx1"/>
              </a:solidFill>
              <a:effectLst/>
              <a:latin typeface="+mn-lt"/>
              <a:ea typeface="+mn-ea"/>
              <a:cs typeface="+mn-cs"/>
            </a:rPr>
            <a:t>. Region-wise sales performance</a:t>
          </a:r>
          <a:endParaRPr lang="en-IN" sz="1400" b="1" i="1">
            <a:solidFill>
              <a:schemeClr val="tx1"/>
            </a:solidFill>
            <a:effectLst/>
          </a:endParaRPr>
        </a:p>
        <a:p>
          <a:pPr lvl="2" rtl="0"/>
          <a:r>
            <a:rPr lang="en-IN" sz="1400" b="1" i="1" baseline="0">
              <a:solidFill>
                <a:schemeClr val="tx1"/>
              </a:solidFill>
              <a:effectLst/>
              <a:latin typeface="+mn-lt"/>
              <a:ea typeface="+mn-ea"/>
              <a:cs typeface="+mn-cs"/>
            </a:rPr>
            <a:t>. Product-wise sales contribution</a:t>
          </a:r>
          <a:endParaRPr lang="en-IN" sz="1400" b="1" i="1">
            <a:solidFill>
              <a:schemeClr val="tx1"/>
            </a:solidFill>
            <a:effectLst/>
          </a:endParaRPr>
        </a:p>
        <a:p>
          <a:pPr lvl="2" rtl="0"/>
          <a:r>
            <a:rPr lang="en-IN" sz="1400" b="1" i="1" baseline="0">
              <a:solidFill>
                <a:schemeClr val="tx1"/>
              </a:solidFill>
              <a:effectLst/>
              <a:latin typeface="+mn-lt"/>
              <a:ea typeface="+mn-ea"/>
              <a:cs typeface="+mn-cs"/>
            </a:rPr>
            <a:t>. Top 3 and bottom 3 products</a:t>
          </a:r>
          <a:endParaRPr lang="en-IN" sz="1400" b="1" i="1">
            <a:solidFill>
              <a:schemeClr val="tx1"/>
            </a:solidFill>
            <a:effectLst/>
          </a:endParaRPr>
        </a:p>
        <a:p>
          <a:pPr lvl="2" rtl="0"/>
          <a:r>
            <a:rPr lang="en-IN" sz="1400" b="1" i="1" baseline="0">
              <a:solidFill>
                <a:schemeClr val="tx1"/>
              </a:solidFill>
              <a:effectLst/>
              <a:latin typeface="+mn-lt"/>
              <a:ea typeface="+mn-ea"/>
              <a:cs typeface="+mn-cs"/>
            </a:rPr>
            <a:t>. Top 3 and bottom 3 salespeople</a:t>
          </a:r>
          <a:endParaRPr lang="en-IN" sz="1400" b="1" i="1">
            <a:solidFill>
              <a:schemeClr val="tx1"/>
            </a:solidFill>
            <a:effectLst/>
          </a:endParaRPr>
        </a:p>
        <a:p>
          <a:pPr lvl="2" rtl="0"/>
          <a:r>
            <a:rPr lang="en-IN" sz="1400" b="1" i="1" baseline="0">
              <a:solidFill>
                <a:schemeClr val="tx1"/>
              </a:solidFill>
              <a:effectLst/>
              <a:latin typeface="+mn-lt"/>
              <a:ea typeface="+mn-ea"/>
              <a:cs typeface="+mn-cs"/>
            </a:rPr>
            <a:t>. Interactive analysis using date, region, and product filters</a:t>
          </a:r>
        </a:p>
        <a:p>
          <a:pPr lvl="2" rtl="0"/>
          <a:endParaRPr lang="en-IN" sz="1400" b="1" i="1" baseline="0">
            <a:solidFill>
              <a:schemeClr val="tx1"/>
            </a:solidFill>
            <a:effectLst/>
            <a:latin typeface="+mn-lt"/>
            <a:ea typeface="+mn-ea"/>
            <a:cs typeface="+mn-cs"/>
          </a:endParaRPr>
        </a:p>
        <a:p>
          <a:pPr lvl="1" rtl="0"/>
          <a:r>
            <a:rPr lang="en-IN" sz="1600" b="1" i="0" baseline="0">
              <a:solidFill>
                <a:schemeClr val="tx1"/>
              </a:solidFill>
              <a:effectLst/>
              <a:latin typeface="+mn-lt"/>
              <a:ea typeface="+mn-ea"/>
              <a:cs typeface="+mn-cs"/>
            </a:rPr>
            <a:t>🛠️ Tools Used</a:t>
          </a:r>
        </a:p>
        <a:p>
          <a:pPr lvl="1" rtl="0"/>
          <a:endParaRPr lang="en-IN" sz="1400" b="1">
            <a:solidFill>
              <a:schemeClr val="tx1"/>
            </a:solidFill>
            <a:effectLst/>
          </a:endParaRPr>
        </a:p>
        <a:p>
          <a:pPr lvl="1" rtl="0"/>
          <a:r>
            <a:rPr lang="en-IN" sz="1200" b="1" i="1" baseline="0">
              <a:solidFill>
                <a:schemeClr val="tx1"/>
              </a:solidFill>
              <a:effectLst/>
              <a:latin typeface="+mn-lt"/>
              <a:ea typeface="+mn-ea"/>
              <a:cs typeface="+mn-cs"/>
            </a:rPr>
            <a:t>Microsoft Excel, Pivot Tables, Pivot Charts, Timeline, and Interactive Filters.</a:t>
          </a:r>
        </a:p>
        <a:p>
          <a:pPr rtl="0"/>
          <a:endParaRPr lang="en-IN" sz="1200" b="1" i="1">
            <a:solidFill>
              <a:schemeClr val="tx1"/>
            </a:solidFill>
            <a:effectLst/>
          </a:endParaRPr>
        </a:p>
        <a:p>
          <a:pPr lvl="1" rtl="0"/>
          <a:r>
            <a:rPr lang="en-IN" sz="1600" b="1" i="0" baseline="0">
              <a:solidFill>
                <a:schemeClr val="tx1"/>
              </a:solidFill>
              <a:effectLst/>
              <a:latin typeface="+mn-lt"/>
              <a:ea typeface="+mn-ea"/>
              <a:cs typeface="+mn-cs"/>
            </a:rPr>
            <a:t>💡 Business Value</a:t>
          </a:r>
        </a:p>
        <a:p>
          <a:pPr lvl="1" rtl="0"/>
          <a:endParaRPr lang="en-IN" sz="1600" b="1">
            <a:solidFill>
              <a:schemeClr val="tx1"/>
            </a:solidFill>
            <a:effectLst/>
          </a:endParaRPr>
        </a:p>
        <a:p>
          <a:pPr lvl="1" rtl="0"/>
          <a:r>
            <a:rPr lang="en-IN" sz="1200" b="1" i="1" baseline="0">
              <a:solidFill>
                <a:schemeClr val="tx1"/>
              </a:solidFill>
              <a:effectLst/>
              <a:latin typeface="+mn-lt"/>
              <a:ea typeface="+mn-ea"/>
              <a:cs typeface="+mn-cs"/>
            </a:rPr>
            <a:t>This dashboard helps identify high-performing products, compare regional sales, evaluate salesperson performance, and discover opportunities for business improvement.</a:t>
          </a:r>
        </a:p>
        <a:p>
          <a:pPr lvl="1" rtl="0"/>
          <a:endParaRPr lang="en-IN" sz="1200" b="1" i="1">
            <a:solidFill>
              <a:schemeClr val="tx1"/>
            </a:solidFill>
            <a:effectLst/>
          </a:endParaRPr>
        </a:p>
        <a:p>
          <a:pPr lvl="1" rtl="0"/>
          <a:r>
            <a:rPr lang="en-IN" sz="1600" b="1" i="0" baseline="0">
              <a:solidFill>
                <a:schemeClr val="tx1"/>
              </a:solidFill>
              <a:effectLst/>
              <a:latin typeface="+mn-lt"/>
              <a:ea typeface="+mn-ea"/>
              <a:cs typeface="+mn-cs"/>
            </a:rPr>
            <a:t>👤 Created By</a:t>
          </a:r>
        </a:p>
        <a:p>
          <a:pPr rtl="0"/>
          <a:endParaRPr lang="en-IN" sz="1600" b="1">
            <a:solidFill>
              <a:schemeClr val="tx1"/>
            </a:solidFill>
            <a:effectLst/>
          </a:endParaRPr>
        </a:p>
        <a:p>
          <a:pPr lvl="1" rtl="0"/>
          <a:r>
            <a:rPr lang="en-IN" sz="1400" b="1" i="0" baseline="0">
              <a:solidFill>
                <a:schemeClr val="tx1"/>
              </a:solidFill>
              <a:effectLst/>
              <a:latin typeface="+mn-lt"/>
              <a:ea typeface="+mn-ea"/>
              <a:cs typeface="+mn-cs"/>
            </a:rPr>
            <a:t>Innama Akhtar</a:t>
          </a:r>
          <a:endParaRPr lang="en-IN" sz="1400" b="1">
            <a:solidFill>
              <a:schemeClr val="tx1"/>
            </a:solidFill>
            <a:effectLst/>
          </a:endParaRPr>
        </a:p>
        <a:p>
          <a:pPr lvl="1" rtl="0"/>
          <a:r>
            <a:rPr lang="en-IN" sz="1400" b="1" i="0" baseline="0">
              <a:solidFill>
                <a:schemeClr val="tx1"/>
              </a:solidFill>
              <a:effectLst/>
              <a:latin typeface="+mn-lt"/>
              <a:ea typeface="+mn-ea"/>
              <a:cs typeface="+mn-cs"/>
            </a:rPr>
            <a:t>Aspiring Data Analyst</a:t>
          </a:r>
          <a:endParaRPr lang="en-IN" sz="1400" b="1">
            <a:solidFill>
              <a:schemeClr val="tx1"/>
            </a:solidFill>
            <a:effectLst/>
          </a:endParaRPr>
        </a:p>
        <a:p>
          <a:pPr lvl="2" rtl="0"/>
          <a:endParaRPr lang="en-IN" sz="1400" b="1" i="1">
            <a:solidFill>
              <a:schemeClr val="tx1"/>
            </a:solidFill>
            <a:effectLst/>
          </a:endParaRPr>
        </a:p>
        <a:p>
          <a:pPr lvl="2" algn="l"/>
          <a:endParaRPr lang="en-IN" sz="1600" b="1" baseline="0">
            <a:solidFill>
              <a:schemeClr val="tx1"/>
            </a:solidFill>
          </a:endParaRPr>
        </a:p>
      </xdr:txBody>
    </xdr:sp>
    <xdr:clientData/>
  </xdr:twoCellAnchor>
  <xdr:twoCellAnchor editAs="oneCell">
    <xdr:from>
      <xdr:col>3</xdr:col>
      <xdr:colOff>451413</xdr:colOff>
      <xdr:row>5</xdr:row>
      <xdr:rowOff>75852</xdr:rowOff>
    </xdr:from>
    <xdr:to>
      <xdr:col>4</xdr:col>
      <xdr:colOff>81312</xdr:colOff>
      <xdr:row>7</xdr:row>
      <xdr:rowOff>8069</xdr:rowOff>
    </xdr:to>
    <xdr:pic>
      <xdr:nvPicPr>
        <xdr:cNvPr id="4" name="Picture 3">
          <a:extLst>
            <a:ext uri="{FF2B5EF4-FFF2-40B4-BE49-F238E27FC236}">
              <a16:creationId xmlns:a16="http://schemas.microsoft.com/office/drawing/2014/main" id="{81ACC384-05DE-D10B-C017-03B391AF61E8}"/>
            </a:ext>
          </a:extLst>
        </xdr:cNvPr>
        <xdr:cNvPicPr>
          <a:picLocks noChangeAspect="1"/>
        </xdr:cNvPicPr>
      </xdr:nvPicPr>
      <xdr:blipFill>
        <a:blip xmlns:r="http://schemas.openxmlformats.org/officeDocument/2006/relationships" r:embed="rId1"/>
        <a:stretch>
          <a:fillRect/>
        </a:stretch>
      </xdr:blipFill>
      <xdr:spPr>
        <a:xfrm>
          <a:off x="2960437" y="1295517"/>
          <a:ext cx="466241" cy="420082"/>
        </a:xfrm>
        <a:prstGeom prst="rect">
          <a:avLst/>
        </a:prstGeom>
      </xdr:spPr>
    </xdr:pic>
    <xdr:clientData/>
  </xdr:twoCellAnchor>
  <xdr:twoCellAnchor>
    <xdr:from>
      <xdr:col>0</xdr:col>
      <xdr:colOff>418627</xdr:colOff>
      <xdr:row>10</xdr:row>
      <xdr:rowOff>0</xdr:rowOff>
    </xdr:from>
    <xdr:to>
      <xdr:col>2</xdr:col>
      <xdr:colOff>545944</xdr:colOff>
      <xdr:row>12</xdr:row>
      <xdr:rowOff>23232</xdr:rowOff>
    </xdr:to>
    <xdr:sp macro="" textlink="">
      <xdr:nvSpPr>
        <xdr:cNvPr id="5" name="Flowchart: Alternate Process 4">
          <a:hlinkClick xmlns:r="http://schemas.openxmlformats.org/officeDocument/2006/relationships" r:id="rId2"/>
          <a:extLst>
            <a:ext uri="{FF2B5EF4-FFF2-40B4-BE49-F238E27FC236}">
              <a16:creationId xmlns:a16="http://schemas.microsoft.com/office/drawing/2014/main" id="{F5A4AC01-710B-5EBE-B419-A212EF5F178B}"/>
            </a:ext>
          </a:extLst>
        </xdr:cNvPr>
        <xdr:cNvSpPr/>
      </xdr:nvSpPr>
      <xdr:spPr>
        <a:xfrm>
          <a:off x="418627" y="2439329"/>
          <a:ext cx="1800000" cy="511098"/>
        </a:xfrm>
        <a:prstGeom prst="flowChartAlternateProcess">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1800" b="1" i="1">
              <a:solidFill>
                <a:schemeClr val="bg1"/>
              </a:solidFill>
            </a:rPr>
            <a:t>   DASHBOARD</a:t>
          </a:r>
        </a:p>
      </xdr:txBody>
    </xdr:sp>
    <xdr:clientData/>
  </xdr:twoCellAnchor>
  <xdr:twoCellAnchor>
    <xdr:from>
      <xdr:col>0</xdr:col>
      <xdr:colOff>419564</xdr:colOff>
      <xdr:row>13</xdr:row>
      <xdr:rowOff>1</xdr:rowOff>
    </xdr:from>
    <xdr:to>
      <xdr:col>2</xdr:col>
      <xdr:colOff>546881</xdr:colOff>
      <xdr:row>15</xdr:row>
      <xdr:rowOff>88135</xdr:rowOff>
    </xdr:to>
    <xdr:sp macro="" textlink="">
      <xdr:nvSpPr>
        <xdr:cNvPr id="6" name="Flowchart: Alternate Process 5">
          <a:hlinkClick xmlns:r="http://schemas.openxmlformats.org/officeDocument/2006/relationships" r:id="rId3"/>
          <a:extLst>
            <a:ext uri="{FF2B5EF4-FFF2-40B4-BE49-F238E27FC236}">
              <a16:creationId xmlns:a16="http://schemas.microsoft.com/office/drawing/2014/main" id="{F87BBFAF-A1B8-4D72-8A04-D2A7998B16F4}"/>
            </a:ext>
          </a:extLst>
        </xdr:cNvPr>
        <xdr:cNvSpPr/>
      </xdr:nvSpPr>
      <xdr:spPr>
        <a:xfrm>
          <a:off x="419564" y="3171129"/>
          <a:ext cx="1800000" cy="576000"/>
        </a:xfrm>
        <a:prstGeom prst="flowChartAlternateProcess">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baseline="0"/>
            <a:t>   PRODUCTS</a:t>
          </a:r>
          <a:endParaRPr lang="en-IN" sz="1200" b="1"/>
        </a:p>
      </xdr:txBody>
    </xdr:sp>
    <xdr:clientData/>
  </xdr:twoCellAnchor>
  <xdr:twoCellAnchor>
    <xdr:from>
      <xdr:col>0</xdr:col>
      <xdr:colOff>418627</xdr:colOff>
      <xdr:row>19</xdr:row>
      <xdr:rowOff>47798</xdr:rowOff>
    </xdr:from>
    <xdr:to>
      <xdr:col>2</xdr:col>
      <xdr:colOff>545944</xdr:colOff>
      <xdr:row>22</xdr:row>
      <xdr:rowOff>0</xdr:rowOff>
    </xdr:to>
    <xdr:sp macro="" textlink="">
      <xdr:nvSpPr>
        <xdr:cNvPr id="7" name="Flowchart: Alternate Process 6">
          <a:hlinkClick xmlns:r="http://schemas.openxmlformats.org/officeDocument/2006/relationships" r:id="rId4"/>
          <a:extLst>
            <a:ext uri="{FF2B5EF4-FFF2-40B4-BE49-F238E27FC236}">
              <a16:creationId xmlns:a16="http://schemas.microsoft.com/office/drawing/2014/main" id="{5FB39AFC-096B-4FE0-8618-08853208BDF1}"/>
            </a:ext>
          </a:extLst>
        </xdr:cNvPr>
        <xdr:cNvSpPr/>
      </xdr:nvSpPr>
      <xdr:spPr>
        <a:xfrm>
          <a:off x="418627" y="4682524"/>
          <a:ext cx="1800000" cy="684000"/>
        </a:xfrm>
        <a:prstGeom prst="flowChartAlternateProcess">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i="1">
              <a:solidFill>
                <a:schemeClr val="accent1"/>
              </a:solidFill>
            </a:rPr>
            <a:t>ABOUT  THE</a:t>
          </a:r>
          <a:r>
            <a:rPr lang="en-IN" sz="1600" b="1" i="1" baseline="0">
              <a:solidFill>
                <a:schemeClr val="accent1"/>
              </a:solidFill>
            </a:rPr>
            <a:t> PROJECTS</a:t>
          </a:r>
          <a:endParaRPr lang="en-IN" sz="1600" b="1" i="1">
            <a:solidFill>
              <a:schemeClr val="accent1"/>
            </a:solidFill>
          </a:endParaRPr>
        </a:p>
      </xdr:txBody>
    </xdr:sp>
    <xdr:clientData/>
  </xdr:twoCellAnchor>
  <xdr:twoCellAnchor>
    <xdr:from>
      <xdr:col>0</xdr:col>
      <xdr:colOff>419564</xdr:colOff>
      <xdr:row>16</xdr:row>
      <xdr:rowOff>47799</xdr:rowOff>
    </xdr:from>
    <xdr:to>
      <xdr:col>2</xdr:col>
      <xdr:colOff>510881</xdr:colOff>
      <xdr:row>18</xdr:row>
      <xdr:rowOff>171933</xdr:rowOff>
    </xdr:to>
    <xdr:sp macro="" textlink="">
      <xdr:nvSpPr>
        <xdr:cNvPr id="8" name="Flowchart: Alternate Process 7">
          <a:hlinkClick xmlns:r="http://schemas.openxmlformats.org/officeDocument/2006/relationships" r:id="rId5"/>
          <a:extLst>
            <a:ext uri="{FF2B5EF4-FFF2-40B4-BE49-F238E27FC236}">
              <a16:creationId xmlns:a16="http://schemas.microsoft.com/office/drawing/2014/main" id="{0C77D381-9D79-4403-AFCD-6A86A35C7A61}"/>
            </a:ext>
          </a:extLst>
        </xdr:cNvPr>
        <xdr:cNvSpPr/>
      </xdr:nvSpPr>
      <xdr:spPr>
        <a:xfrm>
          <a:off x="419564" y="3950726"/>
          <a:ext cx="1764000" cy="612000"/>
        </a:xfrm>
        <a:prstGeom prst="flowChartAlternateProcess">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i="1"/>
            <a:t>SALESMANS</a:t>
          </a:r>
        </a:p>
      </xdr:txBody>
    </xdr:sp>
    <xdr:clientData/>
  </xdr:twoCellAnchor>
  <xdr:twoCellAnchor>
    <xdr:from>
      <xdr:col>3</xdr:col>
      <xdr:colOff>58080</xdr:colOff>
      <xdr:row>4</xdr:row>
      <xdr:rowOff>81311</xdr:rowOff>
    </xdr:from>
    <xdr:to>
      <xdr:col>17</xdr:col>
      <xdr:colOff>627256</xdr:colOff>
      <xdr:row>4</xdr:row>
      <xdr:rowOff>151006</xdr:rowOff>
    </xdr:to>
    <xdr:cxnSp macro="">
      <xdr:nvCxnSpPr>
        <xdr:cNvPr id="10" name="Straight Connector 9">
          <a:extLst>
            <a:ext uri="{FF2B5EF4-FFF2-40B4-BE49-F238E27FC236}">
              <a16:creationId xmlns:a16="http://schemas.microsoft.com/office/drawing/2014/main" id="{F102CE6E-D9C9-E26A-074A-78E7CC652FFF}"/>
            </a:ext>
          </a:extLst>
        </xdr:cNvPr>
        <xdr:cNvCxnSpPr/>
      </xdr:nvCxnSpPr>
      <xdr:spPr>
        <a:xfrm flipV="1">
          <a:off x="2567104" y="1057043"/>
          <a:ext cx="12277957" cy="6969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407948</xdr:colOff>
      <xdr:row>1</xdr:row>
      <xdr:rowOff>58079</xdr:rowOff>
    </xdr:from>
    <xdr:to>
      <xdr:col>2</xdr:col>
      <xdr:colOff>592409</xdr:colOff>
      <xdr:row>5</xdr:row>
      <xdr:rowOff>151005</xdr:rowOff>
    </xdr:to>
    <xdr:grpSp>
      <xdr:nvGrpSpPr>
        <xdr:cNvPr id="9" name="Group 8">
          <a:extLst>
            <a:ext uri="{FF2B5EF4-FFF2-40B4-BE49-F238E27FC236}">
              <a16:creationId xmlns:a16="http://schemas.microsoft.com/office/drawing/2014/main" id="{79767426-B7F7-9663-E29C-22FDF88BD205}"/>
            </a:ext>
          </a:extLst>
        </xdr:cNvPr>
        <xdr:cNvGrpSpPr/>
      </xdr:nvGrpSpPr>
      <xdr:grpSpPr>
        <a:xfrm>
          <a:off x="407948" y="305729"/>
          <a:ext cx="1860861" cy="1083526"/>
          <a:chOff x="0" y="-122030"/>
          <a:chExt cx="1544310" cy="825216"/>
        </a:xfrm>
        <a:scene3d>
          <a:camera prst="orthographicFront"/>
          <a:lightRig rig="threePt" dir="t">
            <a:rot lat="0" lon="0" rev="7500000"/>
          </a:lightRig>
        </a:scene3d>
      </xdr:grpSpPr>
      <xdr:sp macro="" textlink="">
        <xdr:nvSpPr>
          <xdr:cNvPr id="11" name="Rectangle 10">
            <a:extLst>
              <a:ext uri="{FF2B5EF4-FFF2-40B4-BE49-F238E27FC236}">
                <a16:creationId xmlns:a16="http://schemas.microsoft.com/office/drawing/2014/main" id="{25626977-5FDA-ECAA-DB97-3F7399CD36E7}"/>
              </a:ext>
            </a:extLst>
          </xdr:cNvPr>
          <xdr:cNvSpPr/>
        </xdr:nvSpPr>
        <xdr:spPr>
          <a:xfrm>
            <a:off x="0" y="0"/>
            <a:ext cx="1544310" cy="703186"/>
          </a:xfrm>
          <a:prstGeom prst="rect">
            <a:avLst/>
          </a:prstGeom>
          <a:sp3d prstMaterial="plastic">
            <a:bevelT w="127000" h="25400" prst="relaxedInset"/>
          </a:sp3d>
        </xdr:spPr>
        <xdr:style>
          <a:lnRef idx="0">
            <a:schemeClr val="dk1">
              <a:shade val="80000"/>
              <a:hueOff val="0"/>
              <a:satOff val="0"/>
              <a:lumOff val="0"/>
              <a:alphaOff val="0"/>
            </a:schemeClr>
          </a:lnRef>
          <a:fillRef idx="3">
            <a:schemeClr val="lt1">
              <a:hueOff val="0"/>
              <a:satOff val="0"/>
              <a:lumOff val="0"/>
              <a:alphaOff val="0"/>
            </a:schemeClr>
          </a:fillRef>
          <a:effectRef idx="2">
            <a:schemeClr val="lt1">
              <a:hueOff val="0"/>
              <a:satOff val="0"/>
              <a:lumOff val="0"/>
              <a:alphaOff val="0"/>
            </a:schemeClr>
          </a:effectRef>
          <a:fontRef idx="minor">
            <a:schemeClr val="dk1">
              <a:hueOff val="0"/>
              <a:satOff val="0"/>
              <a:lumOff val="0"/>
              <a:alphaOff val="0"/>
            </a:schemeClr>
          </a:fontRef>
        </xdr:style>
      </xdr:sp>
      <xdr:sp macro="" textlink="">
        <xdr:nvSpPr>
          <xdr:cNvPr id="12" name="TextBox 11">
            <a:extLst>
              <a:ext uri="{FF2B5EF4-FFF2-40B4-BE49-F238E27FC236}">
                <a16:creationId xmlns:a16="http://schemas.microsoft.com/office/drawing/2014/main" id="{AF1E3C66-9F02-849A-A0A7-8A97140BCABB}"/>
              </a:ext>
            </a:extLst>
          </xdr:cNvPr>
          <xdr:cNvSpPr txBox="1"/>
        </xdr:nvSpPr>
        <xdr:spPr>
          <a:xfrm>
            <a:off x="0" y="-122030"/>
            <a:ext cx="1544310" cy="825216"/>
          </a:xfrm>
          <a:prstGeom prst="rect">
            <a:avLst/>
          </a:prstGeom>
          <a:sp3d/>
        </xdr:spPr>
        <xdr:style>
          <a:lnRef idx="0">
            <a:scrgbClr r="0" g="0" b="0"/>
          </a:lnRef>
          <a:fillRef idx="0">
            <a:scrgbClr r="0" g="0" b="0"/>
          </a:fillRef>
          <a:effectRef idx="0">
            <a:scrgbClr r="0" g="0" b="0"/>
          </a:effectRef>
          <a:fontRef idx="minor">
            <a:schemeClr val="dk1">
              <a:hueOff val="0"/>
              <a:satOff val="0"/>
              <a:lumOff val="0"/>
              <a:alphaOff val="0"/>
            </a:schemeClr>
          </a:fontRef>
        </xdr:style>
        <xdr:txBody>
          <a:bodyPr spcFirstLastPara="0" vert="horz" wrap="square" lIns="60960" tIns="60960" rIns="60960" bIns="60960" numCol="1" spcCol="1270" anchor="ctr" anchorCtr="0">
            <a:noAutofit/>
          </a:bodyPr>
          <a:lstStyle/>
          <a:p>
            <a:pPr marL="0" lvl="0" indent="0" algn="ctr" defTabSz="711200">
              <a:lnSpc>
                <a:spcPct val="90000"/>
              </a:lnSpc>
              <a:spcBef>
                <a:spcPct val="0"/>
              </a:spcBef>
              <a:spcAft>
                <a:spcPct val="35000"/>
              </a:spcAft>
              <a:buNone/>
            </a:pPr>
            <a:r>
              <a:rPr lang="en-IN" sz="1800" b="1" i="1" kern="1200">
                <a:solidFill>
                  <a:schemeClr val="accent1"/>
                </a:solidFill>
              </a:rPr>
              <a:t>SALES DASHBOARD</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1</xdr:row>
      <xdr:rowOff>14287</xdr:rowOff>
    </xdr:from>
    <xdr:to>
      <xdr:col>7</xdr:col>
      <xdr:colOff>600075</xdr:colOff>
      <xdr:row>6</xdr:row>
      <xdr:rowOff>47625</xdr:rowOff>
    </xdr:to>
    <xdr:graphicFrame macro="">
      <xdr:nvGraphicFramePr>
        <xdr:cNvPr id="2" name="Chart 1">
          <a:extLst>
            <a:ext uri="{FF2B5EF4-FFF2-40B4-BE49-F238E27FC236}">
              <a16:creationId xmlns:a16="http://schemas.microsoft.com/office/drawing/2014/main" id="{6240E2E0-F70A-DA42-0821-72474766A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652462</xdr:colOff>
      <xdr:row>6</xdr:row>
      <xdr:rowOff>19049</xdr:rowOff>
    </xdr:from>
    <xdr:to>
      <xdr:col>12</xdr:col>
      <xdr:colOff>47625</xdr:colOff>
      <xdr:row>15</xdr:row>
      <xdr:rowOff>47625</xdr:rowOff>
    </xdr:to>
    <xdr:graphicFrame macro="">
      <xdr:nvGraphicFramePr>
        <xdr:cNvPr id="3" name="Chart 2">
          <a:extLst>
            <a:ext uri="{FF2B5EF4-FFF2-40B4-BE49-F238E27FC236}">
              <a16:creationId xmlns:a16="http://schemas.microsoft.com/office/drawing/2014/main" id="{2455281A-44F6-F744-EE3E-12ADE2469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500062</xdr:colOff>
      <xdr:row>8</xdr:row>
      <xdr:rowOff>33337</xdr:rowOff>
    </xdr:from>
    <xdr:to>
      <xdr:col>17</xdr:col>
      <xdr:colOff>214312</xdr:colOff>
      <xdr:row>18</xdr:row>
      <xdr:rowOff>66675</xdr:rowOff>
    </xdr:to>
    <xdr:graphicFrame macro="">
      <xdr:nvGraphicFramePr>
        <xdr:cNvPr id="4" name="Chart 3">
          <a:extLst>
            <a:ext uri="{FF2B5EF4-FFF2-40B4-BE49-F238E27FC236}">
              <a16:creationId xmlns:a16="http://schemas.microsoft.com/office/drawing/2014/main" id="{178C644D-EF9F-290D-9D3B-BC52EC5B7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19050</xdr:colOff>
      <xdr:row>6</xdr:row>
      <xdr:rowOff>66675</xdr:rowOff>
    </xdr:from>
    <xdr:to>
      <xdr:col>4</xdr:col>
      <xdr:colOff>171450</xdr:colOff>
      <xdr:row>14</xdr:row>
      <xdr:rowOff>0</xdr:rowOff>
    </xdr:to>
    <mc:AlternateContent xmlns:mc="http://schemas.openxmlformats.org/markup-compatibility/2006" xmlns:a14="http://schemas.microsoft.com/office/drawing/2010/main">
      <mc:Choice Requires="a14">
        <xdr:graphicFrame macro="">
          <xdr:nvGraphicFramePr>
            <xdr:cNvPr id="5" name="Region 8">
              <a:extLst>
                <a:ext uri="{FF2B5EF4-FFF2-40B4-BE49-F238E27FC236}">
                  <a16:creationId xmlns:a16="http://schemas.microsoft.com/office/drawing/2014/main" id="{36BF32FC-E5CA-B1A1-467C-B7E93F291F25}"/>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2362200" y="1495425"/>
              <a:ext cx="1828800"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552449</xdr:colOff>
      <xdr:row>14</xdr:row>
      <xdr:rowOff>47625</xdr:rowOff>
    </xdr:from>
    <xdr:to>
      <xdr:col>5</xdr:col>
      <xdr:colOff>809625</xdr:colOff>
      <xdr:row>18</xdr:row>
      <xdr:rowOff>171450</xdr:rowOff>
    </xdr:to>
    <mc:AlternateContent xmlns:mc="http://schemas.openxmlformats.org/markup-compatibility/2006" xmlns:a14="http://schemas.microsoft.com/office/drawing/2010/main">
      <mc:Choice Requires="a14">
        <xdr:graphicFrame macro="">
          <xdr:nvGraphicFramePr>
            <xdr:cNvPr id="6" name="Item 8">
              <a:extLst>
                <a:ext uri="{FF2B5EF4-FFF2-40B4-BE49-F238E27FC236}">
                  <a16:creationId xmlns:a16="http://schemas.microsoft.com/office/drawing/2014/main" id="{827CF209-25B4-BE08-F5E1-A78D8C5DE0C7}"/>
                </a:ext>
              </a:extLst>
            </xdr:cNvPr>
            <xdr:cNvGraphicFramePr/>
          </xdr:nvGraphicFramePr>
          <xdr:xfrm>
            <a:off x="0" y="0"/>
            <a:ext cx="0" cy="0"/>
          </xdr:xfrm>
          <a:graphic>
            <a:graphicData uri="http://schemas.microsoft.com/office/drawing/2010/slicer">
              <sle:slicer xmlns:sle="http://schemas.microsoft.com/office/drawing/2010/slicer" name="Item 8"/>
            </a:graphicData>
          </a:graphic>
        </xdr:graphicFrame>
      </mc:Choice>
      <mc:Fallback xmlns="">
        <xdr:sp macro="" textlink="">
          <xdr:nvSpPr>
            <xdr:cNvPr id="0" name=""/>
            <xdr:cNvSpPr>
              <a:spLocks noTextEdit="1"/>
            </xdr:cNvSpPr>
          </xdr:nvSpPr>
          <xdr:spPr>
            <a:xfrm>
              <a:off x="552449" y="3381375"/>
              <a:ext cx="5114926" cy="107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533400</xdr:colOff>
      <xdr:row>18</xdr:row>
      <xdr:rowOff>171450</xdr:rowOff>
    </xdr:from>
    <xdr:to>
      <xdr:col>3</xdr:col>
      <xdr:colOff>685800</xdr:colOff>
      <xdr:row>22</xdr:row>
      <xdr:rowOff>142875</xdr:rowOff>
    </xdr:to>
    <mc:AlternateContent xmlns:mc="http://schemas.openxmlformats.org/markup-compatibility/2006" xmlns:tsle="http://schemas.microsoft.com/office/drawing/2012/timeslicer">
      <mc:Choice Requires="tsle">
        <xdr:graphicFrame macro="">
          <xdr:nvGraphicFramePr>
            <xdr:cNvPr id="7" name="Date 8">
              <a:extLst>
                <a:ext uri="{FF2B5EF4-FFF2-40B4-BE49-F238E27FC236}">
                  <a16:creationId xmlns:a16="http://schemas.microsoft.com/office/drawing/2014/main" id="{EC0EE97A-C5FE-AB4C-62ED-C82B2C2B3213}"/>
                </a:ext>
              </a:extLst>
            </xdr:cNvPr>
            <xdr:cNvGraphicFramePr/>
          </xdr:nvGraphicFramePr>
          <xdr:xfrm>
            <a:off x="0" y="0"/>
            <a:ext cx="0" cy="0"/>
          </xdr:xfrm>
          <a:graphic>
            <a:graphicData uri="http://schemas.microsoft.com/office/drawing/2012/timeslicer">
              <tsle:timeslicer name="Date 8"/>
            </a:graphicData>
          </a:graphic>
        </xdr:graphicFrame>
      </mc:Choice>
      <mc:Fallback xmlns="">
        <xdr:sp macro="" textlink="">
          <xdr:nvSpPr>
            <xdr:cNvPr id="0" name=""/>
            <xdr:cNvSpPr>
              <a:spLocks noTextEdit="1"/>
            </xdr:cNvSpPr>
          </xdr:nvSpPr>
          <xdr:spPr>
            <a:xfrm>
              <a:off x="533400" y="4457700"/>
              <a:ext cx="3333750"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595312</xdr:colOff>
      <xdr:row>6</xdr:row>
      <xdr:rowOff>104775</xdr:rowOff>
    </xdr:from>
    <xdr:to>
      <xdr:col>22</xdr:col>
      <xdr:colOff>533400</xdr:colOff>
      <xdr:row>15</xdr:row>
      <xdr:rowOff>19050</xdr:rowOff>
    </xdr:to>
    <xdr:graphicFrame macro="">
      <xdr:nvGraphicFramePr>
        <xdr:cNvPr id="8" name="Chart 7">
          <a:extLst>
            <a:ext uri="{FF2B5EF4-FFF2-40B4-BE49-F238E27FC236}">
              <a16:creationId xmlns:a16="http://schemas.microsoft.com/office/drawing/2014/main" id="{1A6B04E2-7FDF-0636-3AFF-7FD72D89D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528637</xdr:colOff>
      <xdr:row>5</xdr:row>
      <xdr:rowOff>185737</xdr:rowOff>
    </xdr:from>
    <xdr:to>
      <xdr:col>30</xdr:col>
      <xdr:colOff>585787</xdr:colOff>
      <xdr:row>17</xdr:row>
      <xdr:rowOff>71437</xdr:rowOff>
    </xdr:to>
    <xdr:graphicFrame macro="">
      <xdr:nvGraphicFramePr>
        <xdr:cNvPr id="10" name="Chart 9">
          <a:extLst>
            <a:ext uri="{FF2B5EF4-FFF2-40B4-BE49-F238E27FC236}">
              <a16:creationId xmlns:a16="http://schemas.microsoft.com/office/drawing/2014/main" id="{F592065D-AF07-6264-BACC-B555DF75B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690562</xdr:colOff>
      <xdr:row>7</xdr:row>
      <xdr:rowOff>14287</xdr:rowOff>
    </xdr:from>
    <xdr:to>
      <xdr:col>34</xdr:col>
      <xdr:colOff>438150</xdr:colOff>
      <xdr:row>17</xdr:row>
      <xdr:rowOff>66675</xdr:rowOff>
    </xdr:to>
    <xdr:graphicFrame macro="">
      <xdr:nvGraphicFramePr>
        <xdr:cNvPr id="11" name="Chart 10">
          <a:extLst>
            <a:ext uri="{FF2B5EF4-FFF2-40B4-BE49-F238E27FC236}">
              <a16:creationId xmlns:a16="http://schemas.microsoft.com/office/drawing/2014/main" id="{FCB09463-DE41-5E44-8D41-49DB87BEC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23812</xdr:colOff>
      <xdr:row>16</xdr:row>
      <xdr:rowOff>166687</xdr:rowOff>
    </xdr:from>
    <xdr:to>
      <xdr:col>12</xdr:col>
      <xdr:colOff>695325</xdr:colOff>
      <xdr:row>23</xdr:row>
      <xdr:rowOff>66675</xdr:rowOff>
    </xdr:to>
    <xdr:graphicFrame macro="">
      <xdr:nvGraphicFramePr>
        <xdr:cNvPr id="12" name="Chart 11">
          <a:extLst>
            <a:ext uri="{FF2B5EF4-FFF2-40B4-BE49-F238E27FC236}">
              <a16:creationId xmlns:a16="http://schemas.microsoft.com/office/drawing/2014/main" id="{4CE60B2B-5F70-F161-8732-BF132EF3DE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433387</xdr:colOff>
      <xdr:row>24</xdr:row>
      <xdr:rowOff>71437</xdr:rowOff>
    </xdr:from>
    <xdr:to>
      <xdr:col>13</xdr:col>
      <xdr:colOff>114300</xdr:colOff>
      <xdr:row>30</xdr:row>
      <xdr:rowOff>209550</xdr:rowOff>
    </xdr:to>
    <xdr:graphicFrame macro="">
      <xdr:nvGraphicFramePr>
        <xdr:cNvPr id="13" name="Chart 12">
          <a:extLst>
            <a:ext uri="{FF2B5EF4-FFF2-40B4-BE49-F238E27FC236}">
              <a16:creationId xmlns:a16="http://schemas.microsoft.com/office/drawing/2014/main" id="{A65ABDD8-2173-5EFB-BF2F-3546CD490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52387</xdr:colOff>
      <xdr:row>31</xdr:row>
      <xdr:rowOff>228600</xdr:rowOff>
    </xdr:from>
    <xdr:to>
      <xdr:col>6</xdr:col>
      <xdr:colOff>14287</xdr:colOff>
      <xdr:row>41</xdr:row>
      <xdr:rowOff>195262</xdr:rowOff>
    </xdr:to>
    <xdr:graphicFrame macro="">
      <xdr:nvGraphicFramePr>
        <xdr:cNvPr id="14" name="Chart 13">
          <a:extLst>
            <a:ext uri="{FF2B5EF4-FFF2-40B4-BE49-F238E27FC236}">
              <a16:creationId xmlns:a16="http://schemas.microsoft.com/office/drawing/2014/main" id="{47FD7929-04D7-E6D0-101C-48B323A0D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586698-49C8-446B-8B63-C640B239B3F9}" name="PivotTable1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4">
  <location ref="A2:B14"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8"/>
  </rowFields>
  <rowItems count="12">
    <i>
      <x v="1"/>
    </i>
    <i>
      <x v="2"/>
    </i>
    <i>
      <x v="3"/>
    </i>
    <i>
      <x v="4"/>
    </i>
    <i>
      <x v="5"/>
    </i>
    <i>
      <x v="6"/>
    </i>
    <i>
      <x v="7"/>
    </i>
    <i>
      <x v="8"/>
    </i>
    <i>
      <x v="9"/>
    </i>
    <i>
      <x v="10"/>
    </i>
    <i>
      <x v="11"/>
    </i>
    <i>
      <x v="12"/>
    </i>
  </rowItems>
  <colItems count="1">
    <i/>
  </colItems>
  <dataFields count="1">
    <dataField name="Sum of Amount" fld="7" baseField="0" baseItem="0" numFmtId="164"/>
  </dataFields>
  <formats count="1">
    <format dxfId="0">
      <pivotArea collapsedLevelsAreSubtotals="1" fieldPosition="0">
        <references count="1">
          <reference field="8"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08D930-729D-4BFE-BD80-DF53E23EF18D}" name="PivotTable1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S1:S2"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7"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5D2D1-577F-45BF-9ED1-E81BCA4C7963}" name="PivotTable1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2">
  <location ref="AA2:AB5"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3">
    <i>
      <x v="4"/>
    </i>
    <i>
      <x v="5"/>
    </i>
    <i>
      <x/>
    </i>
  </rowItems>
  <colItems count="1">
    <i/>
  </colItems>
  <dataFields count="1">
    <dataField name="Sum of Qty" fld="5" baseField="0" baseItem="0" numFmtId="164"/>
  </dataFields>
  <formats count="1">
    <format dxfId="2">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9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5484CF-E816-4EFC-9EA6-E7259DF1DAE7}" name="PivotTable1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7">
  <location ref="N2:O8"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6">
    <i>
      <x/>
    </i>
    <i>
      <x v="1"/>
    </i>
    <i>
      <x v="2"/>
    </i>
    <i>
      <x v="3"/>
    </i>
    <i>
      <x v="4"/>
    </i>
    <i>
      <x v="5"/>
    </i>
  </rowItems>
  <colItems count="1">
    <i/>
  </colItems>
  <dataFields count="1">
    <dataField name="Sum of Amount" fld="7" showDataAs="percentOfCol" baseField="0" baseItem="0" numFmtId="10"/>
  </dataFields>
  <formats count="2">
    <format dxfId="4">
      <pivotArea outline="0" collapsedLevelsAreSubtotals="1" fieldPosition="0"/>
    </format>
    <format dxfId="3">
      <pivotArea outline="0" fieldPosition="0">
        <references count="1">
          <reference field="4294967294" count="1">
            <x v="0"/>
          </reference>
        </references>
      </pivotArea>
    </format>
  </formats>
  <chartFormats count="4">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52808D-30B1-4B14-8E46-106FF506B776}" name="PivotTable1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7">
  <location ref="H18:I21"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3">
    <i>
      <x v="4"/>
    </i>
    <i>
      <x/>
    </i>
    <i>
      <x v="5"/>
    </i>
  </rowItems>
  <colItems count="1">
    <i/>
  </colItems>
  <dataFields count="1">
    <dataField name="Sum of Qty" fld="5" baseField="0" baseItem="0" numFmtId="164"/>
  </dataFields>
  <formats count="1">
    <format dxfId="5">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7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9FBF16-FE8E-43F2-8801-B0721FF9995B}" name="PivotTable1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0">
  <location ref="AF2:AG8"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6">
    <i>
      <x/>
    </i>
    <i>
      <x v="1"/>
    </i>
    <i>
      <x v="2"/>
    </i>
    <i>
      <x v="3"/>
    </i>
    <i>
      <x v="4"/>
    </i>
    <i>
      <x v="5"/>
    </i>
  </rowItems>
  <colItems count="1">
    <i/>
  </colItems>
  <dataFields count="1">
    <dataField name="Sum of Qty" fld="5" baseField="0" baseItem="0" numFmtId="164"/>
  </dataFields>
  <formats count="1">
    <format dxfId="6">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A77446-603B-42ED-A19A-51D28F1A8F56}" name="PivotTable19"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2">
  <location ref="H26:I29"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3">
    <i>
      <x v="1"/>
    </i>
    <i>
      <x v="2"/>
    </i>
    <i>
      <x v="3"/>
    </i>
  </rowItems>
  <colItems count="1">
    <i/>
  </colItems>
  <dataFields count="1">
    <dataField name="Sum of Qty" fld="5" baseField="0" baseItem="0" numFmtId="164"/>
  </dataFields>
  <formats count="1">
    <format dxfId="7">
      <pivotArea outline="0" collapsedLevelsAreSubtotals="1" fieldPosition="0"/>
    </format>
  </formats>
  <chartFormats count="6">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7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E5F902-52C0-486F-9B98-CE3AFED154CD}" name="PivotTable15"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location ref="X4:Y7"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4"/>
  </rowFields>
  <rowItems count="3">
    <i>
      <x v="1"/>
    </i>
    <i>
      <x v="2"/>
    </i>
    <i>
      <x v="3"/>
    </i>
  </rowItems>
  <colItems count="1">
    <i/>
  </colItems>
  <dataFields count="1">
    <dataField name="Sum of Qty" fld="5" baseField="0" baseItem="0" numFmtId="164"/>
  </dataFields>
  <formats count="1">
    <format dxfId="8">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9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DF2DF4-6F40-46B5-AFD5-DA3F770C0DA8}" name="PivotTable1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8">
  <location ref="I2:J6"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4">
    <i>
      <x/>
    </i>
    <i>
      <x v="1"/>
    </i>
    <i>
      <x v="2"/>
    </i>
    <i>
      <x v="3"/>
    </i>
  </rowItems>
  <colItems count="1">
    <i/>
  </colItems>
  <dataFields count="1">
    <dataField name="Sum of Amount" fld="7" baseField="0" baseItem="0" numFmtId="1"/>
  </dataFields>
  <formats count="1">
    <format dxfId="9">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94BE81-BCE9-4CB1-885F-75BDA9E63D91}"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X15:X16"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dataField="1"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Salesman" fld="2"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2BF6DE-27D3-439F-A0A1-DA3B71246D61}"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X11:X12"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dataField="1" numFmtId="164" showAll="0"/>
    <pivotField numFmtId="164"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Qty" fld="5"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58BCA7-1A14-4F4D-94A7-598ED81F8094}" name="PivotTable1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5">
  <location ref="V1:V2" firstHeaderRow="1" firstDataRow="1" firstDataCol="0"/>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Count of Amount" fld="7" subtotal="count"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07975D-FBA0-4F32-BC6E-6A88224B1EB0}" name="PivotTable20"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2">
  <location ref="A25:B31" firstHeaderRow="1" firstDataRow="1" firstDataCol="1"/>
  <pivotFields count="9">
    <pivotField showAll="0"/>
    <pivotField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6">
    <i>
      <x/>
    </i>
    <i>
      <x v="1"/>
    </i>
    <i>
      <x v="2"/>
    </i>
    <i>
      <x v="3"/>
    </i>
    <i>
      <x v="4"/>
    </i>
    <i>
      <x v="5"/>
    </i>
  </rowItems>
  <colItems count="1">
    <i/>
  </colItems>
  <dataFields count="1">
    <dataField name="Sum of Amount" fld="7" baseField="0" baseItem="0" numFmtId="164"/>
  </dataFields>
  <formats count="1">
    <format dxfId="13">
      <pivotArea outline="0" collapsedLevelsAreSubtotals="1" fieldPosition="0"/>
    </format>
  </formats>
  <chartFormats count="6">
    <chartFormat chart="1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8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5"/>
    </i>
    <i>
      <x v="4"/>
    </i>
    <i>
      <x v="1"/>
    </i>
    <i>
      <x v="2"/>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D46A512-80B9-432C-A94D-99A06DE52A48}" sourceName="Region">
  <pivotTables>
    <pivotTable tabId="3" name="PivotTable7"/>
    <pivotTable tabId="3" name="PivotTable5"/>
    <pivotTable tabId="3" name="PivotTable3"/>
    <pivotTable tabId="3" name="PivotTable2"/>
    <pivotTable tabId="3" name="PivotTable1"/>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1FA6A4FF-5A87-4F9D-8EE9-7D6937B16255}" sourceName="Item">
  <pivotTables>
    <pivotTable tabId="3" name="PivotTable7"/>
    <pivotTable tabId="3" name="PivotTable5"/>
    <pivotTable tabId="3" name="PivotTable3"/>
    <pivotTable tabId="3" name="PivotTable2"/>
    <pivotTable tabId="3" name="PivotTable1"/>
  </pivotTables>
  <data>
    <tabular pivotCacheId="939409558">
      <items count="6">
        <i x="5" s="1"/>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8962C7E-D7CE-4382-B5D8-2639A85E04E6}" sourceName="Region">
  <pivotTables>
    <pivotTable tabId="16" name="PivotTable10"/>
    <pivotTable tabId="16" name="PivotTable11"/>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9"/>
    <pivotTable tabId="16" name="PivotTable20"/>
    <pivotTable tabId="16" name="PivotTable1"/>
    <pivotTable tabId="16" name="PivotTable2"/>
  </pivotTables>
  <data>
    <tabular pivotCacheId="939409558">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AC91768-39F5-48A5-BE9A-77E30C91761F}" sourceName="Item">
  <pivotTables>
    <pivotTable tabId="16" name="PivotTable10"/>
    <pivotTable tabId="16" name="PivotTable11"/>
    <pivotTable tabId="16" name="PivotTable12"/>
    <pivotTable tabId="16" name="PivotTable13"/>
    <pivotTable tabId="16" name="PivotTable14"/>
    <pivotTable tabId="16" name="PivotTable18"/>
    <pivotTable tabId="16" name="PivotTable19"/>
    <pivotTable tabId="16" name="PivotTable20"/>
    <pivotTable tabId="16" name="PivotTable1"/>
    <pivotTable tabId="16" name="PivotTable2"/>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9" xr10:uid="{DCB79F81-6AAE-40F4-A52D-0259373FD9E3}" cache="Slicer_Region" caption="Region" columnCount="2" rowHeight="180000"/>
  <slicer name="Item 9" xr10:uid="{C9545D4F-FFFB-4725-8D79-DFCF911369BD}" cache="Slicer_Item" caption="Item" columnCount="6"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0" xr10:uid="{2A768E3A-D73C-4D50-8450-88C1A9349A58}" cache="Slicer_Region" caption="Region" columnCount="2" rowHeight="252000"/>
  <slicer name="Item 10" xr10:uid="{464BE4AB-792B-4E09-80B2-39E6B2EA2DB2}" cache="Slicer_Item" caption="Item" columnCount="6" rowHeight="25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1" xr10:uid="{8F898597-2CC8-4546-8628-B726A817A816}" cache="Slicer_Region" caption="Region" columnCount="2" rowHeight="180000"/>
  <slicer name="Item 11" xr10:uid="{40AEA556-272C-419D-B3F9-754999EA569F}" cache="Slicer_Item" caption="Item" columnCount="6" rowHeight="180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1" caption="Region" columnCount="2" rowHeight="180000"/>
  <slicer name="Item 4" xr10:uid="{EF93307C-925C-4F51-A713-612334876441}" cache="Slicer_Item1"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1" caption="Region" columnCount="2" rowHeight="180000"/>
  <slicer name="Item 3" xr10:uid="{6AB90526-A7C0-4C7F-B7B1-E858249E90F4}" cache="Slicer_Item1" caption="Item" columnCount="6" rowHeight="3048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1" caption="Region" columnCount="2" rowHeight="180000"/>
  <slicer name="Item 2" xr10:uid="{7F756771-A198-4439-95BB-FEFFAEB82604}" cache="Slicer_Item1" caption="Item" columnCount="6" rowHeight="3048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8" xr10:uid="{0CD31612-8B55-4F0F-899E-26778EB2C621}" cache="Slicer_Region" caption="Region" columnCount="2" rowHeight="304800"/>
  <slicer name="Item 8" xr10:uid="{74CC8B83-FE07-41A8-BECE-74F7A1E179D5}" cache="Slicer_Item" caption="Item" columnCount="6" rowHeight="3048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1" caption="Region" columnCount="2" rowHeight="216000"/>
  <slicer name="Item" xr10:uid="{E0F1C41F-C726-4241-A0E7-D022282B5E45}" cache="Slicer_Item1" caption="Item" columnCount="6"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589A0-D412-433E-A65B-F377C8E286F3}" name="Table1" displayName="Table1" ref="A3:H176" totalsRowShown="0">
  <autoFilter ref="A3:H176" xr:uid="{47C589A0-D412-433E-A65B-F377C8E286F3}"/>
  <tableColumns count="8">
    <tableColumn id="1" xr3:uid="{A4E7AAAE-5B7C-4F61-B388-B86AFCF9BEFA}" name="S No"/>
    <tableColumn id="2" xr3:uid="{9F07B10D-0975-4849-9B34-35D283FA2DA4}" name="Date" dataDxfId="14"/>
    <tableColumn id="3" xr3:uid="{7445CBF6-4628-44B7-B47E-5A078ACF247A}" name="Salesman"/>
    <tableColumn id="4" xr3:uid="{047A65F3-F1B6-477D-82B4-0162CA38C5C3}" name="Region"/>
    <tableColumn id="5" xr3:uid="{DFACAB17-6472-4A81-9FD0-E4A1F79EF510}" name="Item"/>
    <tableColumn id="6" xr3:uid="{1EC7D5E3-E85B-445D-9D44-3143F811AF25}" name="Qty"/>
    <tableColumn id="7" xr3:uid="{1045DA9F-2401-49F8-A9DA-45AE80ACB461}" name="Price"/>
    <tableColumn id="8" xr3:uid="{11B274C8-88F4-47C6-9492-326F3CBEE67B}"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unknown">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393D975-A3BB-4863-86EF-6BF035488B4D}" sourceName="Date">
  <pivotTables>
    <pivotTable tabId="16" name="PivotTable10"/>
    <pivotTable tabId="16" name="PivotTable11"/>
    <pivotTable tabId="16" name="PivotTable12"/>
    <pivotTable tabId="16" name="PivotTable13"/>
    <pivotTable tabId="16" name="PivotTable14"/>
    <pivotTable tabId="16" name="PivotTable15"/>
    <pivotTable tabId="16" name="PivotTable16"/>
    <pivotTable tabId="16" name="PivotTable17"/>
    <pivotTable tabId="16" name="PivotTable18"/>
    <pivotTable tabId="16" name="PivotTable19"/>
    <pivotTable tabId="16" name="PivotTable20"/>
    <pivotTable tabId="16" name="PivotTable1"/>
    <pivotTable tabId="16" name="PivotTable2"/>
  </pivotTables>
  <state minimalRefreshVersion="6" lastRefreshVersion="6" pivotCacheId="939409558"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0" xr10:uid="{6A961CA4-509E-4641-BEFC-F0112AB316C6}" cache="NativeTimeline_Date1"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9" xr10:uid="{0A277E17-6243-4669-9C4E-BA65B7052B83}" cache="NativeTimeline_Date1"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1" xr10:uid="{3DEC0D2D-BB47-4562-944D-14252E5642F6}" cache="NativeTimeline_Date1"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A29464A5-AB8B-4B29-8A60-6FA7975E964E}" cache="NativeTimeline_Date1" caption="Date" showSelectionLabel="0" showTimeLevel="0" showHorizontalScrollbar="0" level="2" selectionLevel="2" scrollPosition="2022-06-07T00:00:00"/>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7.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7.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openxmlformats.org/officeDocument/2006/relationships/drawing" Target="../drawings/drawing9.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rinterSettings" Target="../printerSettings/printerSettings1.bin"/><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5" Type="http://schemas.microsoft.com/office/2011/relationships/timeline" Target="../timelines/timeline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1242-31D7-41C7-8DED-F8DB16666005}">
  <dimension ref="C29:K29"/>
  <sheetViews>
    <sheetView showGridLines="0" showRowColHeaders="0" tabSelected="1" zoomScale="80" zoomScaleNormal="80" workbookViewId="0">
      <selection activeCell="Q9" sqref="Q9"/>
    </sheetView>
  </sheetViews>
  <sheetFormatPr defaultRowHeight="18.75" x14ac:dyDescent="0.3"/>
  <cols>
    <col min="2" max="2" width="12.796875" customWidth="1"/>
    <col min="3" max="4" width="8.796875" hidden="1" customWidth="1"/>
  </cols>
  <sheetData>
    <row r="29" spans="11:11" x14ac:dyDescent="0.3">
      <c r="K29" s="17"/>
    </row>
  </sheetData>
  <sheetProtection algorithmName="SHA-512" hashValue="qWlIUVunleromdaZRpphakQKVVaVKyrMX89BtswVPBXbyS4S11qH1nefQicgZPXpXbIQ5UIW/FOymENDuFay+Q==" saltValue="ZIfkr+YDm5uS8nOD/wCj2Q==" spinCount="100000" sheet="1" scenarios="1" autoFilter="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C97D-CBED-461E-8AE3-1318DBD2D277}">
  <dimension ref="C29:K29"/>
  <sheetViews>
    <sheetView showGridLines="0" showRowColHeaders="0" zoomScale="80" zoomScaleNormal="80" workbookViewId="0">
      <selection activeCell="R10" sqref="R10"/>
    </sheetView>
  </sheetViews>
  <sheetFormatPr defaultRowHeight="18.75" x14ac:dyDescent="0.3"/>
  <cols>
    <col min="2" max="2" width="12.796875" customWidth="1"/>
    <col min="3" max="4" width="8.796875" hidden="1" customWidth="1"/>
  </cols>
  <sheetData>
    <row r="29" spans="11:11" x14ac:dyDescent="0.3">
      <c r="K29" s="17"/>
    </row>
  </sheetData>
  <sheetProtection algorithmName="SHA-512" hashValue="xa3kIIsS8ZdsKXjPabhdxHa++XirSL8/d5yk2eAYmppFLrtABp5LzBlPXYQbey8ZvTgaIXnNWiIuRZ95cQD28A==" saltValue="xNFSZx9S8S6C6U/4kSg9pg==" spinCount="100000" sheet="1" scenarios="1" autoFilter="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E9021-682F-4DB6-9EBF-AE3D8475F675}">
  <dimension ref="C29:K29"/>
  <sheetViews>
    <sheetView showGridLines="0" showRowColHeaders="0" zoomScale="80" zoomScaleNormal="80" workbookViewId="0">
      <selection activeCell="R7" sqref="R7"/>
    </sheetView>
  </sheetViews>
  <sheetFormatPr defaultRowHeight="18.75" x14ac:dyDescent="0.3"/>
  <cols>
    <col min="2" max="2" width="12.796875" customWidth="1"/>
    <col min="3" max="4" width="8.796875" hidden="1" customWidth="1"/>
  </cols>
  <sheetData>
    <row r="29" spans="11:11" x14ac:dyDescent="0.3">
      <c r="K29" s="17"/>
    </row>
  </sheetData>
  <sheetProtection algorithmName="SHA-512" hashValue="HYxs84XUtydOyIVlgT78DU0UOckcTsTuMdkPdNTh1n9bHdqlJDRVhlh02JrqKQbLJzfuPnYlqX7K5dJoOyCH5w==" saltValue="7xNSAkF5ROrvJbZ+fAw14A==" spinCount="100000" sheet="1" scenarios="1" autoFilter="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27FAE-4EB2-4032-9099-DD253C11147A}">
  <dimension ref="A1"/>
  <sheetViews>
    <sheetView showGridLines="0" showRowColHeaders="0" zoomScale="50" zoomScaleNormal="50" workbookViewId="0"/>
  </sheetViews>
  <sheetFormatPr defaultRowHeight="18.75" x14ac:dyDescent="0.3"/>
  <sheetData/>
  <sheetProtection algorithmName="SHA-512" hashValue="lcSyrwSwc1fGGjS2dOMTsigJYzwscp9raUrT+4yKe5NsaLjrrfET9PvKqErSCMUOC81YtJr9S3kVmpzlGWVaxg==" saltValue="cE6kbq2IR1gy2FwU2iLfDw==" spinCount="100000" sheet="1" objects="1" scenarios="1" autoFilter="0"/>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E53E3-6480-4847-812C-04259C82E242}">
  <dimension ref="A1:H176"/>
  <sheetViews>
    <sheetView workbookViewId="0">
      <selection activeCell="I11" sqref="I11"/>
    </sheetView>
  </sheetViews>
  <sheetFormatPr defaultRowHeight="18.75" x14ac:dyDescent="0.3"/>
  <cols>
    <col min="1" max="1" width="8.8984375" bestFit="1" customWidth="1"/>
    <col min="2" max="2" width="10.09765625" bestFit="1" customWidth="1"/>
    <col min="3" max="3" width="10" bestFit="1" customWidth="1"/>
    <col min="4" max="8" width="8.8984375" bestFit="1" customWidth="1"/>
  </cols>
  <sheetData>
    <row r="1" spans="1:8" x14ac:dyDescent="0.3">
      <c r="A1" s="16" t="s">
        <v>41</v>
      </c>
    </row>
    <row r="3" spans="1:8" x14ac:dyDescent="0.3">
      <c r="A3" t="s">
        <v>0</v>
      </c>
      <c r="B3" t="s">
        <v>1</v>
      </c>
      <c r="C3" t="s">
        <v>2</v>
      </c>
      <c r="D3" t="s">
        <v>3</v>
      </c>
      <c r="E3" t="s">
        <v>4</v>
      </c>
      <c r="F3" t="s">
        <v>5</v>
      </c>
      <c r="G3" t="s">
        <v>6</v>
      </c>
      <c r="H3" t="s">
        <v>7</v>
      </c>
    </row>
    <row r="4" spans="1:8" x14ac:dyDescent="0.3">
      <c r="A4">
        <v>1</v>
      </c>
      <c r="B4" s="15">
        <v>44197</v>
      </c>
      <c r="C4" t="s">
        <v>8</v>
      </c>
      <c r="D4" t="s">
        <v>9</v>
      </c>
      <c r="E4" t="s">
        <v>10</v>
      </c>
      <c r="F4">
        <v>7</v>
      </c>
      <c r="G4">
        <v>210</v>
      </c>
      <c r="H4">
        <v>1470</v>
      </c>
    </row>
    <row r="5" spans="1:8" x14ac:dyDescent="0.3">
      <c r="A5">
        <v>364</v>
      </c>
      <c r="B5" s="15">
        <v>44560</v>
      </c>
      <c r="C5" t="s">
        <v>11</v>
      </c>
      <c r="D5" t="s">
        <v>9</v>
      </c>
      <c r="E5" t="s">
        <v>13</v>
      </c>
      <c r="F5">
        <v>6</v>
      </c>
      <c r="G5">
        <v>2100</v>
      </c>
      <c r="H5">
        <v>12600</v>
      </c>
    </row>
    <row r="6" spans="1:8" x14ac:dyDescent="0.3">
      <c r="A6">
        <v>3</v>
      </c>
      <c r="B6" s="15">
        <v>44199</v>
      </c>
      <c r="C6" t="s">
        <v>14</v>
      </c>
      <c r="D6" t="s">
        <v>9</v>
      </c>
      <c r="E6" t="s">
        <v>15</v>
      </c>
      <c r="F6">
        <v>5</v>
      </c>
      <c r="G6">
        <v>1200</v>
      </c>
      <c r="H6">
        <v>6000</v>
      </c>
    </row>
    <row r="7" spans="1:8" x14ac:dyDescent="0.3">
      <c r="A7">
        <v>360</v>
      </c>
      <c r="B7" s="15">
        <v>44556</v>
      </c>
      <c r="C7" t="s">
        <v>11</v>
      </c>
      <c r="D7" t="s">
        <v>9</v>
      </c>
      <c r="E7" t="s">
        <v>13</v>
      </c>
      <c r="F7">
        <v>6</v>
      </c>
      <c r="G7">
        <v>2100</v>
      </c>
      <c r="H7">
        <v>12600</v>
      </c>
    </row>
    <row r="8" spans="1:8" x14ac:dyDescent="0.3">
      <c r="A8">
        <v>5</v>
      </c>
      <c r="B8" s="15">
        <v>44201</v>
      </c>
      <c r="C8" t="s">
        <v>18</v>
      </c>
      <c r="D8" t="s">
        <v>9</v>
      </c>
      <c r="E8" t="s">
        <v>19</v>
      </c>
      <c r="F8">
        <v>3</v>
      </c>
      <c r="G8">
        <v>300</v>
      </c>
      <c r="H8">
        <v>900</v>
      </c>
    </row>
    <row r="9" spans="1:8" x14ac:dyDescent="0.3">
      <c r="A9">
        <v>6</v>
      </c>
      <c r="B9" s="15">
        <v>44202</v>
      </c>
      <c r="C9" t="s">
        <v>20</v>
      </c>
      <c r="D9" t="s">
        <v>9</v>
      </c>
      <c r="E9" t="s">
        <v>21</v>
      </c>
      <c r="F9">
        <v>2</v>
      </c>
      <c r="G9">
        <v>190</v>
      </c>
      <c r="H9">
        <v>380</v>
      </c>
    </row>
    <row r="10" spans="1:8" x14ac:dyDescent="0.3">
      <c r="A10">
        <v>7</v>
      </c>
      <c r="B10" s="15">
        <v>44203</v>
      </c>
      <c r="C10" t="s">
        <v>8</v>
      </c>
      <c r="D10" t="s">
        <v>9</v>
      </c>
      <c r="E10" t="s">
        <v>10</v>
      </c>
      <c r="F10">
        <v>7</v>
      </c>
      <c r="G10">
        <v>210</v>
      </c>
      <c r="H10">
        <v>1470</v>
      </c>
    </row>
    <row r="11" spans="1:8" x14ac:dyDescent="0.3">
      <c r="A11">
        <v>355</v>
      </c>
      <c r="B11" s="15">
        <v>44551</v>
      </c>
      <c r="C11" t="s">
        <v>8</v>
      </c>
      <c r="D11" t="s">
        <v>9</v>
      </c>
      <c r="E11" t="s">
        <v>19</v>
      </c>
      <c r="F11">
        <v>3</v>
      </c>
      <c r="G11">
        <v>300</v>
      </c>
      <c r="H11">
        <v>900</v>
      </c>
    </row>
    <row r="12" spans="1:8" x14ac:dyDescent="0.3">
      <c r="A12">
        <v>351</v>
      </c>
      <c r="B12" s="15">
        <v>44547</v>
      </c>
      <c r="C12" t="s">
        <v>8</v>
      </c>
      <c r="D12" t="s">
        <v>9</v>
      </c>
      <c r="E12" t="s">
        <v>10</v>
      </c>
      <c r="F12">
        <v>7</v>
      </c>
      <c r="G12">
        <v>210</v>
      </c>
      <c r="H12">
        <v>1470</v>
      </c>
    </row>
    <row r="13" spans="1:8" x14ac:dyDescent="0.3">
      <c r="A13">
        <v>10</v>
      </c>
      <c r="B13" s="15">
        <v>44206</v>
      </c>
      <c r="C13" t="s">
        <v>16</v>
      </c>
      <c r="D13" t="s">
        <v>9</v>
      </c>
      <c r="E13" t="s">
        <v>17</v>
      </c>
      <c r="F13">
        <v>4</v>
      </c>
      <c r="G13">
        <v>1500</v>
      </c>
      <c r="H13">
        <v>6000</v>
      </c>
    </row>
    <row r="14" spans="1:8" x14ac:dyDescent="0.3">
      <c r="A14">
        <v>11</v>
      </c>
      <c r="B14" s="15">
        <v>44207</v>
      </c>
      <c r="C14" t="s">
        <v>18</v>
      </c>
      <c r="D14" t="s">
        <v>9</v>
      </c>
      <c r="E14" t="s">
        <v>19</v>
      </c>
      <c r="F14">
        <v>3</v>
      </c>
      <c r="G14">
        <v>300</v>
      </c>
      <c r="H14">
        <v>900</v>
      </c>
    </row>
    <row r="15" spans="1:8" x14ac:dyDescent="0.3">
      <c r="A15">
        <v>350</v>
      </c>
      <c r="B15" s="15">
        <v>44546</v>
      </c>
      <c r="C15" t="s">
        <v>20</v>
      </c>
      <c r="D15" t="s">
        <v>9</v>
      </c>
      <c r="E15" t="s">
        <v>13</v>
      </c>
      <c r="F15">
        <v>2</v>
      </c>
      <c r="G15">
        <v>2100</v>
      </c>
      <c r="H15">
        <v>4200</v>
      </c>
    </row>
    <row r="16" spans="1:8" x14ac:dyDescent="0.3">
      <c r="A16">
        <v>13</v>
      </c>
      <c r="B16" s="15">
        <v>44209</v>
      </c>
      <c r="C16" t="s">
        <v>20</v>
      </c>
      <c r="D16" t="s">
        <v>9</v>
      </c>
      <c r="E16" t="s">
        <v>10</v>
      </c>
      <c r="F16">
        <v>2</v>
      </c>
      <c r="G16">
        <v>210</v>
      </c>
      <c r="H16">
        <v>420</v>
      </c>
    </row>
    <row r="17" spans="1:8" x14ac:dyDescent="0.3">
      <c r="A17">
        <v>14</v>
      </c>
      <c r="B17" s="15">
        <v>44210</v>
      </c>
      <c r="C17" t="s">
        <v>8</v>
      </c>
      <c r="D17" t="s">
        <v>9</v>
      </c>
      <c r="E17" t="s">
        <v>13</v>
      </c>
      <c r="F17">
        <v>7</v>
      </c>
      <c r="G17">
        <v>2100</v>
      </c>
      <c r="H17">
        <v>14700</v>
      </c>
    </row>
    <row r="18" spans="1:8" x14ac:dyDescent="0.3">
      <c r="A18">
        <v>15</v>
      </c>
      <c r="B18" s="15">
        <v>44211</v>
      </c>
      <c r="C18" t="s">
        <v>11</v>
      </c>
      <c r="D18" t="s">
        <v>9</v>
      </c>
      <c r="E18" t="s">
        <v>15</v>
      </c>
      <c r="F18">
        <v>6</v>
      </c>
      <c r="G18">
        <v>1200</v>
      </c>
      <c r="H18">
        <v>7200</v>
      </c>
    </row>
    <row r="19" spans="1:8" x14ac:dyDescent="0.3">
      <c r="A19">
        <v>16</v>
      </c>
      <c r="B19" s="15">
        <v>44212</v>
      </c>
      <c r="C19" t="s">
        <v>14</v>
      </c>
      <c r="D19" t="s">
        <v>9</v>
      </c>
      <c r="E19" t="s">
        <v>17</v>
      </c>
      <c r="F19">
        <v>5</v>
      </c>
      <c r="G19">
        <v>1500</v>
      </c>
      <c r="H19">
        <v>7500</v>
      </c>
    </row>
    <row r="20" spans="1:8" x14ac:dyDescent="0.3">
      <c r="A20">
        <v>17</v>
      </c>
      <c r="B20" s="15">
        <v>44213</v>
      </c>
      <c r="C20" t="s">
        <v>16</v>
      </c>
      <c r="D20" t="s">
        <v>9</v>
      </c>
      <c r="E20" t="s">
        <v>19</v>
      </c>
      <c r="F20">
        <v>4</v>
      </c>
      <c r="G20">
        <v>300</v>
      </c>
      <c r="H20">
        <v>1200</v>
      </c>
    </row>
    <row r="21" spans="1:8" x14ac:dyDescent="0.3">
      <c r="A21">
        <v>18</v>
      </c>
      <c r="B21" s="15">
        <v>44214</v>
      </c>
      <c r="C21" t="s">
        <v>18</v>
      </c>
      <c r="D21" t="s">
        <v>9</v>
      </c>
      <c r="E21" t="s">
        <v>21</v>
      </c>
      <c r="F21">
        <v>3</v>
      </c>
      <c r="G21">
        <v>190</v>
      </c>
      <c r="H21">
        <v>570</v>
      </c>
    </row>
    <row r="22" spans="1:8" x14ac:dyDescent="0.3">
      <c r="A22">
        <v>19</v>
      </c>
      <c r="B22" s="15">
        <v>44215</v>
      </c>
      <c r="C22" t="s">
        <v>20</v>
      </c>
      <c r="D22" t="s">
        <v>9</v>
      </c>
      <c r="E22" t="s">
        <v>10</v>
      </c>
      <c r="F22">
        <v>2</v>
      </c>
      <c r="G22">
        <v>210</v>
      </c>
      <c r="H22">
        <v>420</v>
      </c>
    </row>
    <row r="23" spans="1:8" x14ac:dyDescent="0.3">
      <c r="A23">
        <v>20</v>
      </c>
      <c r="B23" s="15">
        <v>44216</v>
      </c>
      <c r="C23" t="s">
        <v>8</v>
      </c>
      <c r="D23" t="s">
        <v>9</v>
      </c>
      <c r="E23" t="s">
        <v>15</v>
      </c>
      <c r="F23">
        <v>7</v>
      </c>
      <c r="G23">
        <v>2100</v>
      </c>
      <c r="H23">
        <v>14700</v>
      </c>
    </row>
    <row r="24" spans="1:8" x14ac:dyDescent="0.3">
      <c r="A24">
        <v>349</v>
      </c>
      <c r="B24" s="15">
        <v>44545</v>
      </c>
      <c r="C24" t="s">
        <v>20</v>
      </c>
      <c r="D24" t="s">
        <v>9</v>
      </c>
      <c r="E24" t="s">
        <v>10</v>
      </c>
      <c r="F24">
        <v>3</v>
      </c>
      <c r="G24">
        <v>190</v>
      </c>
      <c r="H24">
        <v>570</v>
      </c>
    </row>
    <row r="25" spans="1:8" x14ac:dyDescent="0.3">
      <c r="A25">
        <v>22</v>
      </c>
      <c r="B25" s="15">
        <v>44218</v>
      </c>
      <c r="C25" t="s">
        <v>14</v>
      </c>
      <c r="D25" t="s">
        <v>9</v>
      </c>
      <c r="E25" t="s">
        <v>19</v>
      </c>
      <c r="F25">
        <v>5</v>
      </c>
      <c r="G25">
        <v>300</v>
      </c>
      <c r="H25">
        <v>1500</v>
      </c>
    </row>
    <row r="26" spans="1:8" x14ac:dyDescent="0.3">
      <c r="A26">
        <v>348</v>
      </c>
      <c r="B26" s="15">
        <v>44544</v>
      </c>
      <c r="C26" t="s">
        <v>18</v>
      </c>
      <c r="D26" t="s">
        <v>9</v>
      </c>
      <c r="E26" t="s">
        <v>21</v>
      </c>
      <c r="F26">
        <v>4</v>
      </c>
      <c r="G26">
        <v>200</v>
      </c>
      <c r="H26">
        <v>800</v>
      </c>
    </row>
    <row r="27" spans="1:8" x14ac:dyDescent="0.3">
      <c r="A27">
        <v>24</v>
      </c>
      <c r="B27" s="15">
        <v>44220</v>
      </c>
      <c r="C27" t="s">
        <v>18</v>
      </c>
      <c r="D27" t="s">
        <v>9</v>
      </c>
      <c r="E27" t="s">
        <v>10</v>
      </c>
      <c r="F27">
        <v>3</v>
      </c>
      <c r="G27">
        <v>190</v>
      </c>
      <c r="H27">
        <v>570</v>
      </c>
    </row>
    <row r="28" spans="1:8" x14ac:dyDescent="0.3">
      <c r="A28">
        <v>25</v>
      </c>
      <c r="B28" s="15">
        <v>44221</v>
      </c>
      <c r="C28" t="s">
        <v>20</v>
      </c>
      <c r="D28" t="s">
        <v>9</v>
      </c>
      <c r="E28" t="s">
        <v>13</v>
      </c>
      <c r="F28">
        <v>2</v>
      </c>
      <c r="G28">
        <v>2100</v>
      </c>
      <c r="H28">
        <v>4200</v>
      </c>
    </row>
    <row r="29" spans="1:8" x14ac:dyDescent="0.3">
      <c r="A29">
        <v>26</v>
      </c>
      <c r="B29" s="15">
        <v>44222</v>
      </c>
      <c r="C29" t="s">
        <v>20</v>
      </c>
      <c r="D29" t="s">
        <v>9</v>
      </c>
      <c r="E29" t="s">
        <v>10</v>
      </c>
      <c r="F29">
        <v>7</v>
      </c>
      <c r="G29">
        <v>210</v>
      </c>
      <c r="H29">
        <v>1470</v>
      </c>
    </row>
    <row r="30" spans="1:8" x14ac:dyDescent="0.3">
      <c r="A30">
        <v>27</v>
      </c>
      <c r="B30" s="15">
        <v>44223</v>
      </c>
      <c r="C30" t="s">
        <v>8</v>
      </c>
      <c r="D30" t="s">
        <v>9</v>
      </c>
      <c r="E30" t="s">
        <v>13</v>
      </c>
      <c r="F30">
        <v>6</v>
      </c>
      <c r="G30">
        <v>2100</v>
      </c>
      <c r="H30">
        <v>12600</v>
      </c>
    </row>
    <row r="31" spans="1:8" x14ac:dyDescent="0.3">
      <c r="A31">
        <v>346</v>
      </c>
      <c r="B31" s="15">
        <v>44542</v>
      </c>
      <c r="C31" t="s">
        <v>14</v>
      </c>
      <c r="D31" t="s">
        <v>9</v>
      </c>
      <c r="E31" t="s">
        <v>17</v>
      </c>
      <c r="F31">
        <v>6</v>
      </c>
      <c r="G31">
        <v>1200</v>
      </c>
      <c r="H31">
        <v>7200</v>
      </c>
    </row>
    <row r="32" spans="1:8" x14ac:dyDescent="0.3">
      <c r="A32">
        <v>344</v>
      </c>
      <c r="B32" s="15">
        <v>44540</v>
      </c>
      <c r="C32" t="s">
        <v>8</v>
      </c>
      <c r="D32" t="s">
        <v>9</v>
      </c>
      <c r="E32" t="s">
        <v>10</v>
      </c>
      <c r="F32">
        <v>2</v>
      </c>
      <c r="G32">
        <v>210</v>
      </c>
      <c r="H32">
        <v>420</v>
      </c>
    </row>
    <row r="33" spans="1:8" x14ac:dyDescent="0.3">
      <c r="A33">
        <v>343</v>
      </c>
      <c r="B33" s="15">
        <v>44539</v>
      </c>
      <c r="C33" t="s">
        <v>20</v>
      </c>
      <c r="D33" t="s">
        <v>9</v>
      </c>
      <c r="E33" t="s">
        <v>17</v>
      </c>
      <c r="F33">
        <v>4</v>
      </c>
      <c r="G33">
        <v>1500</v>
      </c>
      <c r="H33">
        <v>6000</v>
      </c>
    </row>
    <row r="34" spans="1:8" x14ac:dyDescent="0.3">
      <c r="A34">
        <v>31</v>
      </c>
      <c r="B34" s="15">
        <v>44227</v>
      </c>
      <c r="C34" t="s">
        <v>8</v>
      </c>
      <c r="D34" t="s">
        <v>9</v>
      </c>
      <c r="E34" t="s">
        <v>10</v>
      </c>
      <c r="F34">
        <v>7</v>
      </c>
      <c r="G34">
        <v>210</v>
      </c>
      <c r="H34">
        <v>1470</v>
      </c>
    </row>
    <row r="35" spans="1:8" x14ac:dyDescent="0.3">
      <c r="A35">
        <v>342</v>
      </c>
      <c r="B35" s="15">
        <v>44538</v>
      </c>
      <c r="C35" t="s">
        <v>18</v>
      </c>
      <c r="D35" t="s">
        <v>9</v>
      </c>
      <c r="E35" t="s">
        <v>17</v>
      </c>
      <c r="F35">
        <v>4</v>
      </c>
      <c r="G35">
        <v>1500</v>
      </c>
      <c r="H35">
        <v>6000</v>
      </c>
    </row>
    <row r="36" spans="1:8" x14ac:dyDescent="0.3">
      <c r="A36">
        <v>341</v>
      </c>
      <c r="B36" s="15">
        <v>44537</v>
      </c>
      <c r="C36" t="s">
        <v>16</v>
      </c>
      <c r="D36" t="s">
        <v>9</v>
      </c>
      <c r="E36" t="s">
        <v>17</v>
      </c>
      <c r="F36">
        <v>4</v>
      </c>
      <c r="G36">
        <v>1500</v>
      </c>
      <c r="H36">
        <v>6000</v>
      </c>
    </row>
    <row r="37" spans="1:8" x14ac:dyDescent="0.3">
      <c r="A37">
        <v>340</v>
      </c>
      <c r="B37" s="15">
        <v>44536</v>
      </c>
      <c r="C37" t="s">
        <v>14</v>
      </c>
      <c r="D37" t="s">
        <v>9</v>
      </c>
      <c r="E37" t="s">
        <v>17</v>
      </c>
      <c r="F37">
        <v>4</v>
      </c>
      <c r="G37">
        <v>1500</v>
      </c>
      <c r="H37">
        <v>6000</v>
      </c>
    </row>
    <row r="38" spans="1:8" x14ac:dyDescent="0.3">
      <c r="A38">
        <v>339</v>
      </c>
      <c r="B38" s="15">
        <v>44535</v>
      </c>
      <c r="C38" t="s">
        <v>11</v>
      </c>
      <c r="D38" t="s">
        <v>9</v>
      </c>
      <c r="E38" t="s">
        <v>17</v>
      </c>
      <c r="F38">
        <v>4</v>
      </c>
      <c r="G38">
        <v>1500</v>
      </c>
      <c r="H38">
        <v>6000</v>
      </c>
    </row>
    <row r="39" spans="1:8" x14ac:dyDescent="0.3">
      <c r="A39">
        <v>36</v>
      </c>
      <c r="B39" s="15">
        <v>44232</v>
      </c>
      <c r="C39" t="s">
        <v>11</v>
      </c>
      <c r="D39" t="s">
        <v>9</v>
      </c>
      <c r="E39" t="s">
        <v>10</v>
      </c>
      <c r="F39">
        <v>7</v>
      </c>
      <c r="G39">
        <v>210</v>
      </c>
      <c r="H39">
        <v>1470</v>
      </c>
    </row>
    <row r="40" spans="1:8" x14ac:dyDescent="0.3">
      <c r="A40">
        <v>338</v>
      </c>
      <c r="B40" s="15">
        <v>44534</v>
      </c>
      <c r="C40" t="s">
        <v>8</v>
      </c>
      <c r="D40" t="s">
        <v>9</v>
      </c>
      <c r="E40" t="s">
        <v>17</v>
      </c>
      <c r="F40">
        <v>4</v>
      </c>
      <c r="G40">
        <v>1500</v>
      </c>
      <c r="H40">
        <v>6000</v>
      </c>
    </row>
    <row r="41" spans="1:8" x14ac:dyDescent="0.3">
      <c r="A41">
        <v>337</v>
      </c>
      <c r="B41" s="15">
        <v>44533</v>
      </c>
      <c r="C41" t="s">
        <v>20</v>
      </c>
      <c r="D41" t="s">
        <v>9</v>
      </c>
      <c r="E41" t="s">
        <v>17</v>
      </c>
      <c r="F41">
        <v>4</v>
      </c>
      <c r="G41">
        <v>1500</v>
      </c>
      <c r="H41">
        <v>6000</v>
      </c>
    </row>
    <row r="42" spans="1:8" x14ac:dyDescent="0.3">
      <c r="A42">
        <v>335</v>
      </c>
      <c r="B42" s="15">
        <v>44531</v>
      </c>
      <c r="C42" t="s">
        <v>18</v>
      </c>
      <c r="D42" t="s">
        <v>9</v>
      </c>
      <c r="E42" t="s">
        <v>17</v>
      </c>
      <c r="F42">
        <v>4</v>
      </c>
      <c r="G42">
        <v>1500</v>
      </c>
      <c r="H42">
        <v>6000</v>
      </c>
    </row>
    <row r="43" spans="1:8" x14ac:dyDescent="0.3">
      <c r="A43">
        <v>40</v>
      </c>
      <c r="B43" s="15">
        <v>44236</v>
      </c>
      <c r="C43" t="s">
        <v>11</v>
      </c>
      <c r="D43" t="s">
        <v>9</v>
      </c>
      <c r="E43" t="s">
        <v>15</v>
      </c>
      <c r="F43">
        <v>6</v>
      </c>
      <c r="G43">
        <v>1200</v>
      </c>
      <c r="H43">
        <v>7200</v>
      </c>
    </row>
    <row r="44" spans="1:8" x14ac:dyDescent="0.3">
      <c r="A44">
        <v>334</v>
      </c>
      <c r="B44" s="15">
        <v>44530</v>
      </c>
      <c r="C44" t="s">
        <v>16</v>
      </c>
      <c r="D44" t="s">
        <v>9</v>
      </c>
      <c r="E44" t="s">
        <v>15</v>
      </c>
      <c r="F44">
        <v>5</v>
      </c>
      <c r="G44">
        <v>1200</v>
      </c>
      <c r="H44">
        <v>6000</v>
      </c>
    </row>
    <row r="45" spans="1:8" x14ac:dyDescent="0.3">
      <c r="A45">
        <v>331</v>
      </c>
      <c r="B45" s="15">
        <v>44527</v>
      </c>
      <c r="C45" t="s">
        <v>8</v>
      </c>
      <c r="D45" t="s">
        <v>9</v>
      </c>
      <c r="E45" t="s">
        <v>21</v>
      </c>
      <c r="F45">
        <v>2</v>
      </c>
      <c r="G45">
        <v>190</v>
      </c>
      <c r="H45">
        <v>380</v>
      </c>
    </row>
    <row r="46" spans="1:8" x14ac:dyDescent="0.3">
      <c r="A46">
        <v>330</v>
      </c>
      <c r="B46" s="15">
        <v>44526</v>
      </c>
      <c r="C46" t="s">
        <v>20</v>
      </c>
      <c r="D46" t="s">
        <v>9</v>
      </c>
      <c r="E46" t="s">
        <v>10</v>
      </c>
      <c r="F46">
        <v>2</v>
      </c>
      <c r="G46">
        <v>210</v>
      </c>
      <c r="H46">
        <v>420</v>
      </c>
    </row>
    <row r="47" spans="1:8" x14ac:dyDescent="0.3">
      <c r="A47">
        <v>329</v>
      </c>
      <c r="B47" s="15">
        <v>44525</v>
      </c>
      <c r="C47" t="s">
        <v>18</v>
      </c>
      <c r="D47" t="s">
        <v>9</v>
      </c>
      <c r="E47" t="s">
        <v>10</v>
      </c>
      <c r="F47">
        <v>2</v>
      </c>
      <c r="G47">
        <v>210</v>
      </c>
      <c r="H47">
        <v>420</v>
      </c>
    </row>
    <row r="48" spans="1:8" x14ac:dyDescent="0.3">
      <c r="A48">
        <v>327</v>
      </c>
      <c r="B48" s="15">
        <v>44523</v>
      </c>
      <c r="C48" t="s">
        <v>14</v>
      </c>
      <c r="D48" t="s">
        <v>9</v>
      </c>
      <c r="E48" t="s">
        <v>10</v>
      </c>
      <c r="F48">
        <v>2</v>
      </c>
      <c r="G48">
        <v>210</v>
      </c>
      <c r="H48">
        <v>420</v>
      </c>
    </row>
    <row r="49" spans="1:8" x14ac:dyDescent="0.3">
      <c r="A49">
        <v>325</v>
      </c>
      <c r="B49" s="15">
        <v>44521</v>
      </c>
      <c r="C49" t="s">
        <v>8</v>
      </c>
      <c r="D49" t="s">
        <v>9</v>
      </c>
      <c r="E49" t="s">
        <v>10</v>
      </c>
      <c r="F49">
        <v>2</v>
      </c>
      <c r="G49">
        <v>210</v>
      </c>
      <c r="H49">
        <v>420</v>
      </c>
    </row>
    <row r="50" spans="1:8" x14ac:dyDescent="0.3">
      <c r="A50">
        <v>47</v>
      </c>
      <c r="B50" s="15">
        <v>44243</v>
      </c>
      <c r="C50" t="s">
        <v>20</v>
      </c>
      <c r="D50" t="s">
        <v>9</v>
      </c>
      <c r="E50" t="s">
        <v>13</v>
      </c>
      <c r="F50">
        <v>7</v>
      </c>
      <c r="G50">
        <v>2100</v>
      </c>
      <c r="H50">
        <v>14700</v>
      </c>
    </row>
    <row r="51" spans="1:8" x14ac:dyDescent="0.3">
      <c r="A51">
        <v>321</v>
      </c>
      <c r="B51" s="15">
        <v>44517</v>
      </c>
      <c r="C51" t="s">
        <v>20</v>
      </c>
      <c r="D51" t="s">
        <v>9</v>
      </c>
      <c r="E51" t="s">
        <v>10</v>
      </c>
      <c r="F51">
        <v>2</v>
      </c>
      <c r="G51">
        <v>210</v>
      </c>
      <c r="H51">
        <v>420</v>
      </c>
    </row>
    <row r="52" spans="1:8" x14ac:dyDescent="0.3">
      <c r="A52">
        <v>317</v>
      </c>
      <c r="B52" s="15">
        <v>44513</v>
      </c>
      <c r="C52" t="s">
        <v>20</v>
      </c>
      <c r="D52" t="s">
        <v>9</v>
      </c>
      <c r="E52" t="s">
        <v>21</v>
      </c>
      <c r="F52">
        <v>2</v>
      </c>
      <c r="G52">
        <v>190</v>
      </c>
      <c r="H52">
        <v>380</v>
      </c>
    </row>
    <row r="53" spans="1:8" x14ac:dyDescent="0.3">
      <c r="A53">
        <v>310</v>
      </c>
      <c r="B53" s="15">
        <v>44506</v>
      </c>
      <c r="C53" t="s">
        <v>11</v>
      </c>
      <c r="D53" t="s">
        <v>9</v>
      </c>
      <c r="E53" t="s">
        <v>21</v>
      </c>
      <c r="F53">
        <v>2</v>
      </c>
      <c r="G53">
        <v>190</v>
      </c>
      <c r="H53">
        <v>380</v>
      </c>
    </row>
    <row r="54" spans="1:8" x14ac:dyDescent="0.3">
      <c r="A54">
        <v>51</v>
      </c>
      <c r="B54" s="15">
        <v>44247</v>
      </c>
      <c r="C54" t="s">
        <v>20</v>
      </c>
      <c r="D54" t="s">
        <v>9</v>
      </c>
      <c r="E54" t="s">
        <v>10</v>
      </c>
      <c r="F54">
        <v>7</v>
      </c>
      <c r="G54">
        <v>210</v>
      </c>
      <c r="H54">
        <v>1470</v>
      </c>
    </row>
    <row r="55" spans="1:8" x14ac:dyDescent="0.3">
      <c r="A55">
        <v>306</v>
      </c>
      <c r="B55" s="15">
        <v>44502</v>
      </c>
      <c r="C55" t="s">
        <v>11</v>
      </c>
      <c r="D55" t="s">
        <v>9</v>
      </c>
      <c r="E55" t="s">
        <v>21</v>
      </c>
      <c r="F55">
        <v>2</v>
      </c>
      <c r="G55">
        <v>190</v>
      </c>
      <c r="H55">
        <v>380</v>
      </c>
    </row>
    <row r="56" spans="1:8" x14ac:dyDescent="0.3">
      <c r="A56">
        <v>301</v>
      </c>
      <c r="B56" s="15">
        <v>44497</v>
      </c>
      <c r="C56" t="s">
        <v>8</v>
      </c>
      <c r="D56" t="s">
        <v>9</v>
      </c>
      <c r="E56" t="s">
        <v>17</v>
      </c>
      <c r="F56">
        <v>5</v>
      </c>
      <c r="G56">
        <v>1500</v>
      </c>
      <c r="H56">
        <v>7500</v>
      </c>
    </row>
    <row r="57" spans="1:8" x14ac:dyDescent="0.3">
      <c r="A57">
        <v>297</v>
      </c>
      <c r="B57" s="15">
        <v>44493</v>
      </c>
      <c r="C57" t="s">
        <v>8</v>
      </c>
      <c r="D57" t="s">
        <v>9</v>
      </c>
      <c r="E57" t="s">
        <v>17</v>
      </c>
      <c r="F57">
        <v>5</v>
      </c>
      <c r="G57">
        <v>1500</v>
      </c>
      <c r="H57">
        <v>7500</v>
      </c>
    </row>
    <row r="58" spans="1:8" x14ac:dyDescent="0.3">
      <c r="A58">
        <v>55</v>
      </c>
      <c r="B58" s="15">
        <v>44251</v>
      </c>
      <c r="C58" t="s">
        <v>8</v>
      </c>
      <c r="D58" t="s">
        <v>9</v>
      </c>
      <c r="E58" t="s">
        <v>19</v>
      </c>
      <c r="F58">
        <v>3</v>
      </c>
      <c r="G58">
        <v>300</v>
      </c>
      <c r="H58">
        <v>900</v>
      </c>
    </row>
    <row r="59" spans="1:8" x14ac:dyDescent="0.3">
      <c r="A59">
        <v>296</v>
      </c>
      <c r="B59" s="15">
        <v>44492</v>
      </c>
      <c r="C59" t="s">
        <v>20</v>
      </c>
      <c r="D59" t="s">
        <v>9</v>
      </c>
      <c r="E59" t="s">
        <v>19</v>
      </c>
      <c r="F59">
        <v>4</v>
      </c>
      <c r="G59">
        <v>300</v>
      </c>
      <c r="H59">
        <v>1200</v>
      </c>
    </row>
    <row r="60" spans="1:8" x14ac:dyDescent="0.3">
      <c r="A60">
        <v>57</v>
      </c>
      <c r="B60" s="15">
        <v>44253</v>
      </c>
      <c r="C60" t="s">
        <v>14</v>
      </c>
      <c r="D60" t="s">
        <v>9</v>
      </c>
      <c r="E60" t="s">
        <v>10</v>
      </c>
      <c r="F60">
        <v>7</v>
      </c>
      <c r="G60">
        <v>210</v>
      </c>
      <c r="H60">
        <v>1470</v>
      </c>
    </row>
    <row r="61" spans="1:8" x14ac:dyDescent="0.3">
      <c r="A61">
        <v>295</v>
      </c>
      <c r="B61" s="15">
        <v>44491</v>
      </c>
      <c r="C61" t="s">
        <v>20</v>
      </c>
      <c r="D61" t="s">
        <v>9</v>
      </c>
      <c r="E61" t="s">
        <v>17</v>
      </c>
      <c r="F61">
        <v>5</v>
      </c>
      <c r="G61">
        <v>1500</v>
      </c>
      <c r="H61">
        <v>7500</v>
      </c>
    </row>
    <row r="62" spans="1:8" x14ac:dyDescent="0.3">
      <c r="A62">
        <v>59</v>
      </c>
      <c r="B62" s="15">
        <v>44255</v>
      </c>
      <c r="C62" t="s">
        <v>18</v>
      </c>
      <c r="D62" t="s">
        <v>9</v>
      </c>
      <c r="E62" t="s">
        <v>15</v>
      </c>
      <c r="F62">
        <v>5</v>
      </c>
      <c r="G62">
        <v>1200</v>
      </c>
      <c r="H62">
        <v>6000</v>
      </c>
    </row>
    <row r="63" spans="1:8" x14ac:dyDescent="0.3">
      <c r="A63">
        <v>60</v>
      </c>
      <c r="B63" s="15">
        <v>44256</v>
      </c>
      <c r="C63" t="s">
        <v>20</v>
      </c>
      <c r="D63" t="s">
        <v>9</v>
      </c>
      <c r="E63" t="s">
        <v>17</v>
      </c>
      <c r="F63">
        <v>4</v>
      </c>
      <c r="G63">
        <v>1500</v>
      </c>
      <c r="H63">
        <v>6000</v>
      </c>
    </row>
    <row r="64" spans="1:8" x14ac:dyDescent="0.3">
      <c r="A64">
        <v>61</v>
      </c>
      <c r="B64" s="15">
        <v>44257</v>
      </c>
      <c r="C64" t="s">
        <v>8</v>
      </c>
      <c r="D64" t="s">
        <v>9</v>
      </c>
      <c r="E64" t="s">
        <v>19</v>
      </c>
      <c r="F64">
        <v>3</v>
      </c>
      <c r="G64">
        <v>300</v>
      </c>
      <c r="H64">
        <v>900</v>
      </c>
    </row>
    <row r="65" spans="1:8" x14ac:dyDescent="0.3">
      <c r="A65">
        <v>294</v>
      </c>
      <c r="B65" s="15">
        <v>44490</v>
      </c>
      <c r="C65" t="s">
        <v>18</v>
      </c>
      <c r="D65" t="s">
        <v>9</v>
      </c>
      <c r="E65" t="s">
        <v>19</v>
      </c>
      <c r="F65">
        <v>4</v>
      </c>
      <c r="G65">
        <v>300</v>
      </c>
      <c r="H65">
        <v>1200</v>
      </c>
    </row>
    <row r="66" spans="1:8" x14ac:dyDescent="0.3">
      <c r="A66">
        <v>292</v>
      </c>
      <c r="B66" s="15">
        <v>44488</v>
      </c>
      <c r="C66" t="s">
        <v>14</v>
      </c>
      <c r="D66" t="s">
        <v>9</v>
      </c>
      <c r="E66" t="s">
        <v>19</v>
      </c>
      <c r="F66">
        <v>4</v>
      </c>
      <c r="G66">
        <v>300</v>
      </c>
      <c r="H66">
        <v>1200</v>
      </c>
    </row>
    <row r="67" spans="1:8" x14ac:dyDescent="0.3">
      <c r="A67">
        <v>64</v>
      </c>
      <c r="B67" s="15">
        <v>44260</v>
      </c>
      <c r="C67" t="s">
        <v>16</v>
      </c>
      <c r="D67" t="s">
        <v>9</v>
      </c>
      <c r="E67" t="s">
        <v>13</v>
      </c>
      <c r="F67">
        <v>7</v>
      </c>
      <c r="G67">
        <v>2100</v>
      </c>
      <c r="H67">
        <v>14700</v>
      </c>
    </row>
    <row r="68" spans="1:8" x14ac:dyDescent="0.3">
      <c r="A68">
        <v>65</v>
      </c>
      <c r="B68" s="15">
        <v>44261</v>
      </c>
      <c r="C68" t="s">
        <v>18</v>
      </c>
      <c r="D68" t="s">
        <v>9</v>
      </c>
      <c r="E68" t="s">
        <v>15</v>
      </c>
      <c r="F68">
        <v>6</v>
      </c>
      <c r="G68">
        <v>1200</v>
      </c>
      <c r="H68">
        <v>7200</v>
      </c>
    </row>
    <row r="69" spans="1:8" x14ac:dyDescent="0.3">
      <c r="A69">
        <v>290</v>
      </c>
      <c r="B69" s="15">
        <v>44486</v>
      </c>
      <c r="C69" t="s">
        <v>8</v>
      </c>
      <c r="D69" t="s">
        <v>9</v>
      </c>
      <c r="E69" t="s">
        <v>15</v>
      </c>
      <c r="F69">
        <v>6</v>
      </c>
      <c r="G69">
        <v>1200</v>
      </c>
      <c r="H69">
        <v>7200</v>
      </c>
    </row>
    <row r="70" spans="1:8" x14ac:dyDescent="0.3">
      <c r="A70">
        <v>67</v>
      </c>
      <c r="B70" s="15">
        <v>44263</v>
      </c>
      <c r="C70" t="s">
        <v>20</v>
      </c>
      <c r="D70" t="s">
        <v>9</v>
      </c>
      <c r="E70" t="s">
        <v>19</v>
      </c>
      <c r="F70">
        <v>4</v>
      </c>
      <c r="G70">
        <v>300</v>
      </c>
      <c r="H70">
        <v>1200</v>
      </c>
    </row>
    <row r="71" spans="1:8" x14ac:dyDescent="0.3">
      <c r="A71">
        <v>68</v>
      </c>
      <c r="B71" s="15">
        <v>44264</v>
      </c>
      <c r="C71" t="s">
        <v>8</v>
      </c>
      <c r="D71" t="s">
        <v>9</v>
      </c>
      <c r="E71" t="s">
        <v>21</v>
      </c>
      <c r="F71">
        <v>3</v>
      </c>
      <c r="G71">
        <v>190</v>
      </c>
      <c r="H71">
        <v>570</v>
      </c>
    </row>
    <row r="72" spans="1:8" x14ac:dyDescent="0.3">
      <c r="A72">
        <v>69</v>
      </c>
      <c r="B72" s="15">
        <v>44265</v>
      </c>
      <c r="C72" t="s">
        <v>11</v>
      </c>
      <c r="D72" t="s">
        <v>9</v>
      </c>
      <c r="E72" t="s">
        <v>10</v>
      </c>
      <c r="F72">
        <v>2</v>
      </c>
      <c r="G72">
        <v>210</v>
      </c>
      <c r="H72">
        <v>420</v>
      </c>
    </row>
    <row r="73" spans="1:8" x14ac:dyDescent="0.3">
      <c r="A73">
        <v>70</v>
      </c>
      <c r="B73" s="15">
        <v>44266</v>
      </c>
      <c r="C73" t="s">
        <v>14</v>
      </c>
      <c r="D73" t="s">
        <v>9</v>
      </c>
      <c r="E73" t="s">
        <v>21</v>
      </c>
      <c r="F73">
        <v>3</v>
      </c>
      <c r="G73">
        <v>190</v>
      </c>
      <c r="H73">
        <v>570</v>
      </c>
    </row>
    <row r="74" spans="1:8" x14ac:dyDescent="0.3">
      <c r="A74">
        <v>71</v>
      </c>
      <c r="B74" s="15">
        <v>44267</v>
      </c>
      <c r="C74" t="s">
        <v>16</v>
      </c>
      <c r="D74" t="s">
        <v>9</v>
      </c>
      <c r="E74" t="s">
        <v>10</v>
      </c>
      <c r="F74">
        <v>2</v>
      </c>
      <c r="G74">
        <v>210</v>
      </c>
      <c r="H74">
        <v>420</v>
      </c>
    </row>
    <row r="75" spans="1:8" x14ac:dyDescent="0.3">
      <c r="A75">
        <v>72</v>
      </c>
      <c r="B75" s="15">
        <v>44268</v>
      </c>
      <c r="C75" t="s">
        <v>18</v>
      </c>
      <c r="D75" t="s">
        <v>9</v>
      </c>
      <c r="E75" t="s">
        <v>21</v>
      </c>
      <c r="F75">
        <v>3</v>
      </c>
      <c r="G75">
        <v>190</v>
      </c>
      <c r="H75">
        <v>570</v>
      </c>
    </row>
    <row r="76" spans="1:8" x14ac:dyDescent="0.3">
      <c r="A76">
        <v>73</v>
      </c>
      <c r="B76" s="15">
        <v>44269</v>
      </c>
      <c r="C76" t="s">
        <v>20</v>
      </c>
      <c r="D76" t="s">
        <v>9</v>
      </c>
      <c r="E76" t="s">
        <v>10</v>
      </c>
      <c r="F76">
        <v>2</v>
      </c>
      <c r="G76">
        <v>210</v>
      </c>
      <c r="H76">
        <v>420</v>
      </c>
    </row>
    <row r="77" spans="1:8" x14ac:dyDescent="0.3">
      <c r="A77">
        <v>74</v>
      </c>
      <c r="B77" s="15">
        <v>44270</v>
      </c>
      <c r="C77" t="s">
        <v>8</v>
      </c>
      <c r="D77" t="s">
        <v>9</v>
      </c>
      <c r="E77" t="s">
        <v>21</v>
      </c>
      <c r="F77">
        <v>3</v>
      </c>
      <c r="G77">
        <v>190</v>
      </c>
      <c r="H77">
        <v>570</v>
      </c>
    </row>
    <row r="78" spans="1:8" x14ac:dyDescent="0.3">
      <c r="A78">
        <v>289</v>
      </c>
      <c r="B78" s="15">
        <v>44485</v>
      </c>
      <c r="C78" t="s">
        <v>20</v>
      </c>
      <c r="D78" t="s">
        <v>9</v>
      </c>
      <c r="E78" t="s">
        <v>13</v>
      </c>
      <c r="F78">
        <v>7</v>
      </c>
      <c r="G78">
        <v>2100</v>
      </c>
      <c r="H78">
        <v>14700</v>
      </c>
    </row>
    <row r="79" spans="1:8" x14ac:dyDescent="0.3">
      <c r="A79">
        <v>76</v>
      </c>
      <c r="B79" s="15">
        <v>44272</v>
      </c>
      <c r="C79" t="s">
        <v>14</v>
      </c>
      <c r="D79" t="s">
        <v>9</v>
      </c>
      <c r="E79" t="s">
        <v>21</v>
      </c>
      <c r="F79">
        <v>3</v>
      </c>
      <c r="G79">
        <v>190</v>
      </c>
      <c r="H79">
        <v>570</v>
      </c>
    </row>
    <row r="80" spans="1:8" x14ac:dyDescent="0.3">
      <c r="A80">
        <v>288</v>
      </c>
      <c r="B80" s="15">
        <v>44484</v>
      </c>
      <c r="C80" t="s">
        <v>18</v>
      </c>
      <c r="D80" t="s">
        <v>9</v>
      </c>
      <c r="E80" t="s">
        <v>10</v>
      </c>
      <c r="F80">
        <v>2</v>
      </c>
      <c r="G80">
        <v>210</v>
      </c>
      <c r="H80">
        <v>420</v>
      </c>
    </row>
    <row r="81" spans="1:8" x14ac:dyDescent="0.3">
      <c r="A81">
        <v>78</v>
      </c>
      <c r="B81" s="15">
        <v>44274</v>
      </c>
      <c r="C81" t="s">
        <v>18</v>
      </c>
      <c r="D81" t="s">
        <v>9</v>
      </c>
      <c r="E81" t="s">
        <v>15</v>
      </c>
      <c r="F81">
        <v>5</v>
      </c>
      <c r="G81">
        <v>1200</v>
      </c>
      <c r="H81">
        <v>6000</v>
      </c>
    </row>
    <row r="82" spans="1:8" x14ac:dyDescent="0.3">
      <c r="A82">
        <v>79</v>
      </c>
      <c r="B82" s="15">
        <v>44275</v>
      </c>
      <c r="C82" t="s">
        <v>20</v>
      </c>
      <c r="D82" t="s">
        <v>9</v>
      </c>
      <c r="E82" t="s">
        <v>17</v>
      </c>
      <c r="F82">
        <v>4</v>
      </c>
      <c r="G82">
        <v>1500</v>
      </c>
      <c r="H82">
        <v>6000</v>
      </c>
    </row>
    <row r="83" spans="1:8" x14ac:dyDescent="0.3">
      <c r="A83">
        <v>80</v>
      </c>
      <c r="B83" s="15">
        <v>44276</v>
      </c>
      <c r="C83" t="s">
        <v>20</v>
      </c>
      <c r="D83" t="s">
        <v>9</v>
      </c>
      <c r="E83" t="s">
        <v>19</v>
      </c>
      <c r="F83">
        <v>3</v>
      </c>
      <c r="G83">
        <v>300</v>
      </c>
      <c r="H83">
        <v>900</v>
      </c>
    </row>
    <row r="84" spans="1:8" x14ac:dyDescent="0.3">
      <c r="A84">
        <v>81</v>
      </c>
      <c r="B84" s="15">
        <v>44277</v>
      </c>
      <c r="C84" t="s">
        <v>8</v>
      </c>
      <c r="D84" t="s">
        <v>9</v>
      </c>
      <c r="E84" t="s">
        <v>21</v>
      </c>
      <c r="F84">
        <v>2</v>
      </c>
      <c r="G84">
        <v>190</v>
      </c>
      <c r="H84">
        <v>380</v>
      </c>
    </row>
    <row r="85" spans="1:8" x14ac:dyDescent="0.3">
      <c r="A85">
        <v>287</v>
      </c>
      <c r="B85" s="15">
        <v>44483</v>
      </c>
      <c r="C85" t="s">
        <v>16</v>
      </c>
      <c r="D85" t="s">
        <v>9</v>
      </c>
      <c r="E85" t="s">
        <v>21</v>
      </c>
      <c r="F85">
        <v>2</v>
      </c>
      <c r="G85">
        <v>190</v>
      </c>
      <c r="H85">
        <v>380</v>
      </c>
    </row>
    <row r="86" spans="1:8" x14ac:dyDescent="0.3">
      <c r="A86">
        <v>286</v>
      </c>
      <c r="B86" s="15">
        <v>44482</v>
      </c>
      <c r="C86" t="s">
        <v>14</v>
      </c>
      <c r="D86" t="s">
        <v>9</v>
      </c>
      <c r="E86" t="s">
        <v>19</v>
      </c>
      <c r="F86">
        <v>3</v>
      </c>
      <c r="G86">
        <v>300</v>
      </c>
      <c r="H86">
        <v>900</v>
      </c>
    </row>
    <row r="87" spans="1:8" x14ac:dyDescent="0.3">
      <c r="A87">
        <v>285</v>
      </c>
      <c r="B87" s="15">
        <v>44481</v>
      </c>
      <c r="C87" t="s">
        <v>11</v>
      </c>
      <c r="D87" t="s">
        <v>9</v>
      </c>
      <c r="E87" t="s">
        <v>17</v>
      </c>
      <c r="F87">
        <v>4</v>
      </c>
      <c r="G87">
        <v>1500</v>
      </c>
      <c r="H87">
        <v>6000</v>
      </c>
    </row>
    <row r="88" spans="1:8" x14ac:dyDescent="0.3">
      <c r="A88">
        <v>85</v>
      </c>
      <c r="B88" s="15">
        <v>44281</v>
      </c>
      <c r="C88" t="s">
        <v>8</v>
      </c>
      <c r="D88" t="s">
        <v>9</v>
      </c>
      <c r="E88" t="s">
        <v>17</v>
      </c>
      <c r="F88">
        <v>4</v>
      </c>
      <c r="G88">
        <v>1500</v>
      </c>
      <c r="H88">
        <v>6000</v>
      </c>
    </row>
    <row r="89" spans="1:8" x14ac:dyDescent="0.3">
      <c r="A89">
        <v>284</v>
      </c>
      <c r="B89" s="15">
        <v>44480</v>
      </c>
      <c r="C89" t="s">
        <v>8</v>
      </c>
      <c r="D89" t="s">
        <v>9</v>
      </c>
      <c r="E89" t="s">
        <v>15</v>
      </c>
      <c r="F89">
        <v>5</v>
      </c>
      <c r="G89">
        <v>1200</v>
      </c>
      <c r="H89">
        <v>6000</v>
      </c>
    </row>
    <row r="90" spans="1:8" x14ac:dyDescent="0.3">
      <c r="A90">
        <v>283</v>
      </c>
      <c r="B90" s="15">
        <v>44479</v>
      </c>
      <c r="C90" t="s">
        <v>20</v>
      </c>
      <c r="D90" t="s">
        <v>9</v>
      </c>
      <c r="E90" t="s">
        <v>13</v>
      </c>
      <c r="F90">
        <v>6</v>
      </c>
      <c r="G90">
        <v>2100</v>
      </c>
      <c r="H90">
        <v>12600</v>
      </c>
    </row>
    <row r="91" spans="1:8" x14ac:dyDescent="0.3">
      <c r="A91">
        <v>281</v>
      </c>
      <c r="B91" s="15">
        <v>44477</v>
      </c>
      <c r="C91" t="s">
        <v>18</v>
      </c>
      <c r="D91" t="s">
        <v>9</v>
      </c>
      <c r="E91" t="s">
        <v>21</v>
      </c>
      <c r="F91">
        <v>2</v>
      </c>
      <c r="G91">
        <v>190</v>
      </c>
      <c r="H91">
        <v>380</v>
      </c>
    </row>
    <row r="92" spans="1:8" x14ac:dyDescent="0.3">
      <c r="A92">
        <v>280</v>
      </c>
      <c r="B92" s="15">
        <v>44476</v>
      </c>
      <c r="C92" t="s">
        <v>16</v>
      </c>
      <c r="D92" t="s">
        <v>9</v>
      </c>
      <c r="E92" t="s">
        <v>19</v>
      </c>
      <c r="F92">
        <v>3</v>
      </c>
      <c r="G92">
        <v>300</v>
      </c>
      <c r="H92">
        <v>900</v>
      </c>
    </row>
    <row r="93" spans="1:8" x14ac:dyDescent="0.3">
      <c r="A93">
        <v>90</v>
      </c>
      <c r="B93" s="15">
        <v>44286</v>
      </c>
      <c r="C93" t="s">
        <v>11</v>
      </c>
      <c r="D93" t="s">
        <v>9</v>
      </c>
      <c r="E93" t="s">
        <v>19</v>
      </c>
      <c r="F93">
        <v>3</v>
      </c>
      <c r="G93">
        <v>300</v>
      </c>
      <c r="H93">
        <v>900</v>
      </c>
    </row>
    <row r="94" spans="1:8" x14ac:dyDescent="0.3">
      <c r="A94">
        <v>277</v>
      </c>
      <c r="B94" s="15">
        <v>44473</v>
      </c>
      <c r="C94" t="s">
        <v>8</v>
      </c>
      <c r="D94" t="s">
        <v>9</v>
      </c>
      <c r="E94" t="s">
        <v>13</v>
      </c>
      <c r="F94">
        <v>7</v>
      </c>
      <c r="G94">
        <v>2100</v>
      </c>
      <c r="H94">
        <v>14700</v>
      </c>
    </row>
    <row r="95" spans="1:8" x14ac:dyDescent="0.3">
      <c r="A95">
        <v>276</v>
      </c>
      <c r="B95" s="15">
        <v>44472</v>
      </c>
      <c r="C95" t="s">
        <v>20</v>
      </c>
      <c r="D95" t="s">
        <v>9</v>
      </c>
      <c r="E95" t="s">
        <v>13</v>
      </c>
      <c r="F95">
        <v>7</v>
      </c>
      <c r="G95">
        <v>2100</v>
      </c>
      <c r="H95">
        <v>14700</v>
      </c>
    </row>
    <row r="96" spans="1:8" x14ac:dyDescent="0.3">
      <c r="A96">
        <v>275</v>
      </c>
      <c r="B96" s="15">
        <v>44471</v>
      </c>
      <c r="C96" t="s">
        <v>18</v>
      </c>
      <c r="D96" t="s">
        <v>9</v>
      </c>
      <c r="E96" t="s">
        <v>13</v>
      </c>
      <c r="F96">
        <v>7</v>
      </c>
      <c r="G96">
        <v>2100</v>
      </c>
      <c r="H96">
        <v>14700</v>
      </c>
    </row>
    <row r="97" spans="1:8" x14ac:dyDescent="0.3">
      <c r="A97">
        <v>94</v>
      </c>
      <c r="B97" s="15">
        <v>44290</v>
      </c>
      <c r="C97" t="s">
        <v>11</v>
      </c>
      <c r="D97" t="s">
        <v>9</v>
      </c>
      <c r="E97" t="s">
        <v>19</v>
      </c>
      <c r="F97">
        <v>3</v>
      </c>
      <c r="G97">
        <v>300</v>
      </c>
      <c r="H97">
        <v>900</v>
      </c>
    </row>
    <row r="98" spans="1:8" x14ac:dyDescent="0.3">
      <c r="A98">
        <v>273</v>
      </c>
      <c r="B98" s="15">
        <v>44469</v>
      </c>
      <c r="C98" t="s">
        <v>14</v>
      </c>
      <c r="D98" t="s">
        <v>9</v>
      </c>
      <c r="E98" t="s">
        <v>13</v>
      </c>
      <c r="F98">
        <v>7</v>
      </c>
      <c r="G98">
        <v>2100</v>
      </c>
      <c r="H98">
        <v>14700</v>
      </c>
    </row>
    <row r="99" spans="1:8" x14ac:dyDescent="0.3">
      <c r="A99">
        <v>271</v>
      </c>
      <c r="B99" s="15">
        <v>44467</v>
      </c>
      <c r="C99" t="s">
        <v>8</v>
      </c>
      <c r="D99" t="s">
        <v>9</v>
      </c>
      <c r="E99" t="s">
        <v>13</v>
      </c>
      <c r="F99">
        <v>7</v>
      </c>
      <c r="G99">
        <v>2100</v>
      </c>
      <c r="H99">
        <v>14700</v>
      </c>
    </row>
    <row r="100" spans="1:8" x14ac:dyDescent="0.3">
      <c r="A100">
        <v>267</v>
      </c>
      <c r="B100" s="15">
        <v>44463</v>
      </c>
      <c r="C100" t="s">
        <v>20</v>
      </c>
      <c r="D100" t="s">
        <v>9</v>
      </c>
      <c r="E100" t="s">
        <v>13</v>
      </c>
      <c r="F100">
        <v>7</v>
      </c>
      <c r="G100">
        <v>2100</v>
      </c>
      <c r="H100">
        <v>14700</v>
      </c>
    </row>
    <row r="101" spans="1:8" x14ac:dyDescent="0.3">
      <c r="A101">
        <v>263</v>
      </c>
      <c r="B101" s="15">
        <v>44459</v>
      </c>
      <c r="C101" t="s">
        <v>20</v>
      </c>
      <c r="D101" t="s">
        <v>9</v>
      </c>
      <c r="E101" t="s">
        <v>10</v>
      </c>
      <c r="F101">
        <v>2</v>
      </c>
      <c r="G101">
        <v>210</v>
      </c>
      <c r="H101">
        <v>420</v>
      </c>
    </row>
    <row r="102" spans="1:8" x14ac:dyDescent="0.3">
      <c r="A102">
        <v>256</v>
      </c>
      <c r="B102" s="15">
        <v>44452</v>
      </c>
      <c r="C102" t="s">
        <v>11</v>
      </c>
      <c r="D102" t="s">
        <v>9</v>
      </c>
      <c r="E102" t="s">
        <v>19</v>
      </c>
      <c r="F102">
        <v>4</v>
      </c>
      <c r="G102">
        <v>300</v>
      </c>
      <c r="H102">
        <v>1200</v>
      </c>
    </row>
    <row r="103" spans="1:8" x14ac:dyDescent="0.3">
      <c r="A103">
        <v>252</v>
      </c>
      <c r="B103" s="15">
        <v>44448</v>
      </c>
      <c r="C103" t="s">
        <v>11</v>
      </c>
      <c r="D103" t="s">
        <v>9</v>
      </c>
      <c r="E103" t="s">
        <v>10</v>
      </c>
      <c r="F103">
        <v>2</v>
      </c>
      <c r="G103">
        <v>210</v>
      </c>
      <c r="H103">
        <v>420</v>
      </c>
    </row>
    <row r="104" spans="1:8" x14ac:dyDescent="0.3">
      <c r="A104">
        <v>101</v>
      </c>
      <c r="B104" s="15">
        <v>44297</v>
      </c>
      <c r="C104" t="s">
        <v>20</v>
      </c>
      <c r="D104" t="s">
        <v>9</v>
      </c>
      <c r="E104" t="s">
        <v>10</v>
      </c>
      <c r="F104">
        <v>7</v>
      </c>
      <c r="G104">
        <v>210</v>
      </c>
      <c r="H104">
        <v>1470</v>
      </c>
    </row>
    <row r="105" spans="1:8" x14ac:dyDescent="0.3">
      <c r="A105">
        <v>247</v>
      </c>
      <c r="B105" s="15">
        <v>44443</v>
      </c>
      <c r="C105" t="s">
        <v>8</v>
      </c>
      <c r="D105" t="s">
        <v>9</v>
      </c>
      <c r="E105" t="s">
        <v>15</v>
      </c>
      <c r="F105">
        <v>6</v>
      </c>
      <c r="G105">
        <v>1200</v>
      </c>
      <c r="H105">
        <v>7200</v>
      </c>
    </row>
    <row r="106" spans="1:8" x14ac:dyDescent="0.3">
      <c r="A106">
        <v>243</v>
      </c>
      <c r="B106" s="15">
        <v>44439</v>
      </c>
      <c r="C106" t="s">
        <v>8</v>
      </c>
      <c r="D106" t="s">
        <v>9</v>
      </c>
      <c r="E106" t="s">
        <v>19</v>
      </c>
      <c r="F106">
        <v>3</v>
      </c>
      <c r="G106">
        <v>300</v>
      </c>
      <c r="H106">
        <v>900</v>
      </c>
    </row>
    <row r="107" spans="1:8" x14ac:dyDescent="0.3">
      <c r="A107">
        <v>242</v>
      </c>
      <c r="B107" s="15">
        <v>44438</v>
      </c>
      <c r="C107" t="s">
        <v>20</v>
      </c>
      <c r="D107" t="s">
        <v>9</v>
      </c>
      <c r="E107" t="s">
        <v>19</v>
      </c>
      <c r="F107">
        <v>4</v>
      </c>
      <c r="G107">
        <v>300</v>
      </c>
      <c r="H107">
        <v>1200</v>
      </c>
    </row>
    <row r="108" spans="1:8" x14ac:dyDescent="0.3">
      <c r="A108">
        <v>105</v>
      </c>
      <c r="B108" s="15">
        <v>44301</v>
      </c>
      <c r="C108" t="s">
        <v>20</v>
      </c>
      <c r="D108" t="s">
        <v>9</v>
      </c>
      <c r="E108" t="s">
        <v>15</v>
      </c>
      <c r="F108">
        <v>5</v>
      </c>
      <c r="G108">
        <v>1200</v>
      </c>
      <c r="H108">
        <v>6000</v>
      </c>
    </row>
    <row r="109" spans="1:8" x14ac:dyDescent="0.3">
      <c r="A109">
        <v>241</v>
      </c>
      <c r="B109" s="15">
        <v>44437</v>
      </c>
      <c r="C109" t="s">
        <v>20</v>
      </c>
      <c r="D109" t="s">
        <v>9</v>
      </c>
      <c r="E109" t="s">
        <v>17</v>
      </c>
      <c r="F109">
        <v>5</v>
      </c>
      <c r="G109">
        <v>1500</v>
      </c>
      <c r="H109">
        <v>7500</v>
      </c>
    </row>
    <row r="110" spans="1:8" x14ac:dyDescent="0.3">
      <c r="A110">
        <v>240</v>
      </c>
      <c r="B110" s="15">
        <v>44436</v>
      </c>
      <c r="C110" t="s">
        <v>18</v>
      </c>
      <c r="D110" t="s">
        <v>9</v>
      </c>
      <c r="E110" t="s">
        <v>15</v>
      </c>
      <c r="F110">
        <v>6</v>
      </c>
      <c r="G110">
        <v>1200</v>
      </c>
      <c r="H110">
        <v>7200</v>
      </c>
    </row>
    <row r="111" spans="1:8" x14ac:dyDescent="0.3">
      <c r="A111">
        <v>238</v>
      </c>
      <c r="B111" s="15">
        <v>44434</v>
      </c>
      <c r="C111" t="s">
        <v>14</v>
      </c>
      <c r="D111" t="s">
        <v>9</v>
      </c>
      <c r="E111" t="s">
        <v>10</v>
      </c>
      <c r="F111">
        <v>2</v>
      </c>
      <c r="G111">
        <v>210</v>
      </c>
      <c r="H111">
        <v>420</v>
      </c>
    </row>
    <row r="112" spans="1:8" x14ac:dyDescent="0.3">
      <c r="A112">
        <v>109</v>
      </c>
      <c r="B112" s="15">
        <v>44305</v>
      </c>
      <c r="C112" t="s">
        <v>8</v>
      </c>
      <c r="D112" t="s">
        <v>9</v>
      </c>
      <c r="E112" t="s">
        <v>13</v>
      </c>
      <c r="F112">
        <v>6</v>
      </c>
      <c r="G112">
        <v>2100</v>
      </c>
      <c r="H112">
        <v>12600</v>
      </c>
    </row>
    <row r="113" spans="1:8" x14ac:dyDescent="0.3">
      <c r="A113">
        <v>236</v>
      </c>
      <c r="B113" s="15">
        <v>44432</v>
      </c>
      <c r="C113" t="s">
        <v>8</v>
      </c>
      <c r="D113" t="s">
        <v>9</v>
      </c>
      <c r="E113" t="s">
        <v>19</v>
      </c>
      <c r="F113">
        <v>3</v>
      </c>
      <c r="G113">
        <v>300</v>
      </c>
      <c r="H113">
        <v>900</v>
      </c>
    </row>
    <row r="114" spans="1:8" x14ac:dyDescent="0.3">
      <c r="A114">
        <v>111</v>
      </c>
      <c r="B114" s="15">
        <v>44307</v>
      </c>
      <c r="C114" t="s">
        <v>14</v>
      </c>
      <c r="D114" t="s">
        <v>9</v>
      </c>
      <c r="E114" t="s">
        <v>13</v>
      </c>
      <c r="F114">
        <v>6</v>
      </c>
      <c r="G114">
        <v>2100</v>
      </c>
      <c r="H114">
        <v>12600</v>
      </c>
    </row>
    <row r="115" spans="1:8" x14ac:dyDescent="0.3">
      <c r="A115">
        <v>235</v>
      </c>
      <c r="B115" s="15">
        <v>44431</v>
      </c>
      <c r="C115" t="s">
        <v>20</v>
      </c>
      <c r="D115" t="s">
        <v>9</v>
      </c>
      <c r="E115" t="s">
        <v>17</v>
      </c>
      <c r="F115">
        <v>4</v>
      </c>
      <c r="G115">
        <v>1500</v>
      </c>
      <c r="H115">
        <v>6000</v>
      </c>
    </row>
    <row r="116" spans="1:8" x14ac:dyDescent="0.3">
      <c r="A116">
        <v>113</v>
      </c>
      <c r="B116" s="15">
        <v>44309</v>
      </c>
      <c r="C116" t="s">
        <v>18</v>
      </c>
      <c r="D116" t="s">
        <v>9</v>
      </c>
      <c r="E116" t="s">
        <v>10</v>
      </c>
      <c r="F116">
        <v>2</v>
      </c>
      <c r="G116">
        <v>210</v>
      </c>
      <c r="H116">
        <v>420</v>
      </c>
    </row>
    <row r="117" spans="1:8" x14ac:dyDescent="0.3">
      <c r="A117">
        <v>114</v>
      </c>
      <c r="B117" s="15">
        <v>44310</v>
      </c>
      <c r="C117" t="s">
        <v>20</v>
      </c>
      <c r="D117" t="s">
        <v>9</v>
      </c>
      <c r="E117" t="s">
        <v>13</v>
      </c>
      <c r="F117">
        <v>7</v>
      </c>
      <c r="G117">
        <v>2100</v>
      </c>
      <c r="H117">
        <v>14700</v>
      </c>
    </row>
    <row r="118" spans="1:8" x14ac:dyDescent="0.3">
      <c r="A118">
        <v>115</v>
      </c>
      <c r="B118" s="15">
        <v>44311</v>
      </c>
      <c r="C118" t="s">
        <v>8</v>
      </c>
      <c r="D118" t="s">
        <v>9</v>
      </c>
      <c r="E118" t="s">
        <v>15</v>
      </c>
      <c r="F118">
        <v>6</v>
      </c>
      <c r="G118">
        <v>1200</v>
      </c>
      <c r="H118">
        <v>7200</v>
      </c>
    </row>
    <row r="119" spans="1:8" x14ac:dyDescent="0.3">
      <c r="A119">
        <v>234</v>
      </c>
      <c r="B119" s="15">
        <v>44430</v>
      </c>
      <c r="C119" t="s">
        <v>18</v>
      </c>
      <c r="D119" t="s">
        <v>9</v>
      </c>
      <c r="E119" t="s">
        <v>13</v>
      </c>
      <c r="F119">
        <v>7</v>
      </c>
      <c r="G119">
        <v>2100</v>
      </c>
      <c r="H119">
        <v>14700</v>
      </c>
    </row>
    <row r="120" spans="1:8" x14ac:dyDescent="0.3">
      <c r="A120">
        <v>233</v>
      </c>
      <c r="B120" s="15">
        <v>44429</v>
      </c>
      <c r="C120" t="s">
        <v>16</v>
      </c>
      <c r="D120" t="s">
        <v>9</v>
      </c>
      <c r="E120" t="s">
        <v>13</v>
      </c>
      <c r="F120">
        <v>6</v>
      </c>
      <c r="G120">
        <v>2100</v>
      </c>
      <c r="H120">
        <v>12600</v>
      </c>
    </row>
    <row r="121" spans="1:8" x14ac:dyDescent="0.3">
      <c r="A121">
        <v>118</v>
      </c>
      <c r="B121" s="15">
        <v>44314</v>
      </c>
      <c r="C121" t="s">
        <v>16</v>
      </c>
      <c r="D121" t="s">
        <v>9</v>
      </c>
      <c r="E121" t="s">
        <v>21</v>
      </c>
      <c r="F121">
        <v>3</v>
      </c>
      <c r="G121">
        <v>190</v>
      </c>
      <c r="H121">
        <v>570</v>
      </c>
    </row>
    <row r="122" spans="1:8" x14ac:dyDescent="0.3">
      <c r="A122">
        <v>119</v>
      </c>
      <c r="B122" s="15">
        <v>44315</v>
      </c>
      <c r="C122" t="s">
        <v>18</v>
      </c>
      <c r="D122" t="s">
        <v>9</v>
      </c>
      <c r="E122" t="s">
        <v>10</v>
      </c>
      <c r="F122">
        <v>2</v>
      </c>
      <c r="G122">
        <v>210</v>
      </c>
      <c r="H122">
        <v>420</v>
      </c>
    </row>
    <row r="123" spans="1:8" x14ac:dyDescent="0.3">
      <c r="A123">
        <v>232</v>
      </c>
      <c r="B123" s="15">
        <v>44428</v>
      </c>
      <c r="C123" t="s">
        <v>14</v>
      </c>
      <c r="D123" t="s">
        <v>9</v>
      </c>
      <c r="E123" t="s">
        <v>10</v>
      </c>
      <c r="F123">
        <v>7</v>
      </c>
      <c r="G123">
        <v>210</v>
      </c>
      <c r="H123">
        <v>1470</v>
      </c>
    </row>
    <row r="124" spans="1:8" x14ac:dyDescent="0.3">
      <c r="A124">
        <v>121</v>
      </c>
      <c r="B124" s="15">
        <v>44317</v>
      </c>
      <c r="C124" t="s">
        <v>20</v>
      </c>
      <c r="D124" t="s">
        <v>9</v>
      </c>
      <c r="E124" t="s">
        <v>17</v>
      </c>
      <c r="F124">
        <v>6</v>
      </c>
      <c r="G124">
        <v>1200</v>
      </c>
      <c r="H124">
        <v>7200</v>
      </c>
    </row>
    <row r="125" spans="1:8" x14ac:dyDescent="0.3">
      <c r="A125">
        <v>122</v>
      </c>
      <c r="B125" s="15">
        <v>44318</v>
      </c>
      <c r="C125" t="s">
        <v>8</v>
      </c>
      <c r="D125" t="s">
        <v>9</v>
      </c>
      <c r="E125" t="s">
        <v>19</v>
      </c>
      <c r="F125">
        <v>5</v>
      </c>
      <c r="G125">
        <v>300</v>
      </c>
      <c r="H125">
        <v>1500</v>
      </c>
    </row>
    <row r="126" spans="1:8" x14ac:dyDescent="0.3">
      <c r="A126">
        <v>123</v>
      </c>
      <c r="B126" s="15">
        <v>44319</v>
      </c>
      <c r="C126" t="s">
        <v>11</v>
      </c>
      <c r="D126" t="s">
        <v>9</v>
      </c>
      <c r="E126" t="s">
        <v>21</v>
      </c>
      <c r="F126">
        <v>4</v>
      </c>
      <c r="G126">
        <v>200</v>
      </c>
      <c r="H126">
        <v>800</v>
      </c>
    </row>
    <row r="127" spans="1:8" x14ac:dyDescent="0.3">
      <c r="A127">
        <v>124</v>
      </c>
      <c r="B127" s="15">
        <v>44320</v>
      </c>
      <c r="C127" t="s">
        <v>14</v>
      </c>
      <c r="D127" t="s">
        <v>9</v>
      </c>
      <c r="E127" t="s">
        <v>10</v>
      </c>
      <c r="F127">
        <v>3</v>
      </c>
      <c r="G127">
        <v>190</v>
      </c>
      <c r="H127">
        <v>570</v>
      </c>
    </row>
    <row r="128" spans="1:8" x14ac:dyDescent="0.3">
      <c r="A128">
        <v>125</v>
      </c>
      <c r="B128" s="15">
        <v>44321</v>
      </c>
      <c r="C128" t="s">
        <v>16</v>
      </c>
      <c r="D128" t="s">
        <v>9</v>
      </c>
      <c r="E128" t="s">
        <v>13</v>
      </c>
      <c r="F128">
        <v>2</v>
      </c>
      <c r="G128">
        <v>2100</v>
      </c>
      <c r="H128">
        <v>4200</v>
      </c>
    </row>
    <row r="129" spans="1:8" x14ac:dyDescent="0.3">
      <c r="A129">
        <v>126</v>
      </c>
      <c r="B129" s="15">
        <v>44322</v>
      </c>
      <c r="C129" t="s">
        <v>18</v>
      </c>
      <c r="D129" t="s">
        <v>9</v>
      </c>
      <c r="E129" t="s">
        <v>10</v>
      </c>
      <c r="F129">
        <v>7</v>
      </c>
      <c r="G129">
        <v>210</v>
      </c>
      <c r="H129">
        <v>1470</v>
      </c>
    </row>
    <row r="130" spans="1:8" x14ac:dyDescent="0.3">
      <c r="A130">
        <v>127</v>
      </c>
      <c r="B130" s="15">
        <v>44323</v>
      </c>
      <c r="C130" t="s">
        <v>20</v>
      </c>
      <c r="D130" t="s">
        <v>9</v>
      </c>
      <c r="E130" t="s">
        <v>13</v>
      </c>
      <c r="F130">
        <v>6</v>
      </c>
      <c r="G130">
        <v>2100</v>
      </c>
      <c r="H130">
        <v>12600</v>
      </c>
    </row>
    <row r="131" spans="1:8" x14ac:dyDescent="0.3">
      <c r="A131">
        <v>128</v>
      </c>
      <c r="B131" s="15">
        <v>44324</v>
      </c>
      <c r="C131" t="s">
        <v>8</v>
      </c>
      <c r="D131" t="s">
        <v>9</v>
      </c>
      <c r="E131" t="s">
        <v>15</v>
      </c>
      <c r="F131">
        <v>5</v>
      </c>
      <c r="G131">
        <v>1200</v>
      </c>
      <c r="H131">
        <v>6000</v>
      </c>
    </row>
    <row r="132" spans="1:8" x14ac:dyDescent="0.3">
      <c r="A132">
        <v>231</v>
      </c>
      <c r="B132" s="15">
        <v>44427</v>
      </c>
      <c r="C132" t="s">
        <v>11</v>
      </c>
      <c r="D132" t="s">
        <v>9</v>
      </c>
      <c r="E132" t="s">
        <v>21</v>
      </c>
      <c r="F132">
        <v>2</v>
      </c>
      <c r="G132">
        <v>190</v>
      </c>
      <c r="H132">
        <v>380</v>
      </c>
    </row>
    <row r="133" spans="1:8" x14ac:dyDescent="0.3">
      <c r="A133">
        <v>130</v>
      </c>
      <c r="B133" s="15">
        <v>44326</v>
      </c>
      <c r="C133" t="s">
        <v>14</v>
      </c>
      <c r="D133" t="s">
        <v>9</v>
      </c>
      <c r="E133" t="s">
        <v>19</v>
      </c>
      <c r="F133">
        <v>3</v>
      </c>
      <c r="G133">
        <v>300</v>
      </c>
      <c r="H133">
        <v>900</v>
      </c>
    </row>
    <row r="134" spans="1:8" x14ac:dyDescent="0.3">
      <c r="A134">
        <v>230</v>
      </c>
      <c r="B134" s="15">
        <v>44426</v>
      </c>
      <c r="C134" t="s">
        <v>8</v>
      </c>
      <c r="D134" t="s">
        <v>9</v>
      </c>
      <c r="E134" t="s">
        <v>19</v>
      </c>
      <c r="F134">
        <v>3</v>
      </c>
      <c r="G134">
        <v>300</v>
      </c>
      <c r="H134">
        <v>900</v>
      </c>
    </row>
    <row r="135" spans="1:8" x14ac:dyDescent="0.3">
      <c r="A135">
        <v>132</v>
      </c>
      <c r="B135" s="15">
        <v>44328</v>
      </c>
      <c r="C135" t="s">
        <v>18</v>
      </c>
      <c r="D135" t="s">
        <v>9</v>
      </c>
      <c r="E135" t="s">
        <v>10</v>
      </c>
      <c r="F135">
        <v>7</v>
      </c>
      <c r="G135">
        <v>210</v>
      </c>
      <c r="H135">
        <v>1470</v>
      </c>
    </row>
    <row r="136" spans="1:8" x14ac:dyDescent="0.3">
      <c r="A136">
        <v>133</v>
      </c>
      <c r="B136" s="15">
        <v>44329</v>
      </c>
      <c r="C136" t="s">
        <v>20</v>
      </c>
      <c r="D136" t="s">
        <v>9</v>
      </c>
      <c r="E136" t="s">
        <v>13</v>
      </c>
      <c r="F136">
        <v>6</v>
      </c>
      <c r="G136">
        <v>2100</v>
      </c>
      <c r="H136">
        <v>12600</v>
      </c>
    </row>
    <row r="137" spans="1:8" x14ac:dyDescent="0.3">
      <c r="A137">
        <v>134</v>
      </c>
      <c r="B137" s="15">
        <v>44330</v>
      </c>
      <c r="C137" t="s">
        <v>20</v>
      </c>
      <c r="D137" t="s">
        <v>9</v>
      </c>
      <c r="E137" t="s">
        <v>15</v>
      </c>
      <c r="F137">
        <v>5</v>
      </c>
      <c r="G137">
        <v>1200</v>
      </c>
      <c r="H137">
        <v>6000</v>
      </c>
    </row>
    <row r="138" spans="1:8" x14ac:dyDescent="0.3">
      <c r="A138">
        <v>135</v>
      </c>
      <c r="B138" s="15">
        <v>44331</v>
      </c>
      <c r="C138" t="s">
        <v>8</v>
      </c>
      <c r="D138" t="s">
        <v>9</v>
      </c>
      <c r="E138" t="s">
        <v>17</v>
      </c>
      <c r="F138">
        <v>4</v>
      </c>
      <c r="G138">
        <v>1500</v>
      </c>
      <c r="H138">
        <v>6000</v>
      </c>
    </row>
    <row r="139" spans="1:8" x14ac:dyDescent="0.3">
      <c r="A139">
        <v>229</v>
      </c>
      <c r="B139" s="15">
        <v>44425</v>
      </c>
      <c r="C139" t="s">
        <v>20</v>
      </c>
      <c r="D139" t="s">
        <v>9</v>
      </c>
      <c r="E139" t="s">
        <v>17</v>
      </c>
      <c r="F139">
        <v>4</v>
      </c>
      <c r="G139">
        <v>1500</v>
      </c>
      <c r="H139">
        <v>6000</v>
      </c>
    </row>
    <row r="140" spans="1:8" x14ac:dyDescent="0.3">
      <c r="A140">
        <v>227</v>
      </c>
      <c r="B140" s="15">
        <v>44423</v>
      </c>
      <c r="C140" t="s">
        <v>18</v>
      </c>
      <c r="D140" t="s">
        <v>9</v>
      </c>
      <c r="E140" t="s">
        <v>13</v>
      </c>
      <c r="F140">
        <v>6</v>
      </c>
      <c r="G140">
        <v>2100</v>
      </c>
      <c r="H140">
        <v>12600</v>
      </c>
    </row>
    <row r="141" spans="1:8" x14ac:dyDescent="0.3">
      <c r="A141">
        <v>226</v>
      </c>
      <c r="B141" s="15">
        <v>44422</v>
      </c>
      <c r="C141" t="s">
        <v>16</v>
      </c>
      <c r="D141" t="s">
        <v>9</v>
      </c>
      <c r="E141" t="s">
        <v>10</v>
      </c>
      <c r="F141">
        <v>7</v>
      </c>
      <c r="G141">
        <v>210</v>
      </c>
      <c r="H141">
        <v>1470</v>
      </c>
    </row>
    <row r="142" spans="1:8" x14ac:dyDescent="0.3">
      <c r="A142">
        <v>139</v>
      </c>
      <c r="B142" s="15">
        <v>44335</v>
      </c>
      <c r="C142" t="s">
        <v>8</v>
      </c>
      <c r="D142" t="s">
        <v>9</v>
      </c>
      <c r="E142" t="s">
        <v>13</v>
      </c>
      <c r="F142">
        <v>7</v>
      </c>
      <c r="G142">
        <v>2100</v>
      </c>
      <c r="H142">
        <v>14700</v>
      </c>
    </row>
    <row r="143" spans="1:8" x14ac:dyDescent="0.3">
      <c r="A143">
        <v>223</v>
      </c>
      <c r="B143" s="15">
        <v>44419</v>
      </c>
      <c r="C143" t="s">
        <v>8</v>
      </c>
      <c r="D143" t="s">
        <v>9</v>
      </c>
      <c r="E143" t="s">
        <v>21</v>
      </c>
      <c r="F143">
        <v>4</v>
      </c>
      <c r="G143">
        <v>200</v>
      </c>
      <c r="H143">
        <v>800</v>
      </c>
    </row>
    <row r="144" spans="1:8" x14ac:dyDescent="0.3">
      <c r="A144">
        <v>222</v>
      </c>
      <c r="B144" s="15">
        <v>44418</v>
      </c>
      <c r="C144" t="s">
        <v>20</v>
      </c>
      <c r="D144" t="s">
        <v>9</v>
      </c>
      <c r="E144" t="s">
        <v>19</v>
      </c>
      <c r="F144">
        <v>5</v>
      </c>
      <c r="G144">
        <v>300</v>
      </c>
      <c r="H144">
        <v>1500</v>
      </c>
    </row>
    <row r="145" spans="1:8" x14ac:dyDescent="0.3">
      <c r="A145">
        <v>221</v>
      </c>
      <c r="B145" s="15">
        <v>44417</v>
      </c>
      <c r="C145" t="s">
        <v>18</v>
      </c>
      <c r="D145" t="s">
        <v>9</v>
      </c>
      <c r="E145" t="s">
        <v>17</v>
      </c>
      <c r="F145">
        <v>6</v>
      </c>
      <c r="G145">
        <v>1200</v>
      </c>
      <c r="H145">
        <v>7200</v>
      </c>
    </row>
    <row r="146" spans="1:8" x14ac:dyDescent="0.3">
      <c r="A146">
        <v>219</v>
      </c>
      <c r="B146" s="15">
        <v>44415</v>
      </c>
      <c r="C146" t="s">
        <v>14</v>
      </c>
      <c r="D146" t="s">
        <v>9</v>
      </c>
      <c r="E146" t="s">
        <v>10</v>
      </c>
      <c r="F146">
        <v>2</v>
      </c>
      <c r="G146">
        <v>210</v>
      </c>
      <c r="H146">
        <v>420</v>
      </c>
    </row>
    <row r="147" spans="1:8" x14ac:dyDescent="0.3">
      <c r="A147">
        <v>144</v>
      </c>
      <c r="B147" s="15">
        <v>44340</v>
      </c>
      <c r="C147" t="s">
        <v>11</v>
      </c>
      <c r="D147" t="s">
        <v>9</v>
      </c>
      <c r="E147" t="s">
        <v>19</v>
      </c>
      <c r="F147">
        <v>4</v>
      </c>
      <c r="G147">
        <v>300</v>
      </c>
      <c r="H147">
        <v>1200</v>
      </c>
    </row>
    <row r="148" spans="1:8" x14ac:dyDescent="0.3">
      <c r="A148">
        <v>217</v>
      </c>
      <c r="B148" s="15">
        <v>44413</v>
      </c>
      <c r="C148" t="s">
        <v>8</v>
      </c>
      <c r="D148" t="s">
        <v>9</v>
      </c>
      <c r="E148" t="s">
        <v>19</v>
      </c>
      <c r="F148">
        <v>4</v>
      </c>
      <c r="G148">
        <v>300</v>
      </c>
      <c r="H148">
        <v>1200</v>
      </c>
    </row>
    <row r="149" spans="1:8" x14ac:dyDescent="0.3">
      <c r="A149">
        <v>213</v>
      </c>
      <c r="B149" s="15">
        <v>44409</v>
      </c>
      <c r="C149" t="s">
        <v>20</v>
      </c>
      <c r="D149" t="s">
        <v>9</v>
      </c>
      <c r="E149" t="s">
        <v>10</v>
      </c>
      <c r="F149">
        <v>2</v>
      </c>
      <c r="G149">
        <v>210</v>
      </c>
      <c r="H149">
        <v>420</v>
      </c>
    </row>
    <row r="150" spans="1:8" x14ac:dyDescent="0.3">
      <c r="A150">
        <v>209</v>
      </c>
      <c r="B150" s="15">
        <v>44405</v>
      </c>
      <c r="C150" t="s">
        <v>20</v>
      </c>
      <c r="D150" t="s">
        <v>9</v>
      </c>
      <c r="E150" t="s">
        <v>15</v>
      </c>
      <c r="F150">
        <v>5</v>
      </c>
      <c r="G150">
        <v>1200</v>
      </c>
      <c r="H150">
        <v>6000</v>
      </c>
    </row>
    <row r="151" spans="1:8" x14ac:dyDescent="0.3">
      <c r="A151">
        <v>148</v>
      </c>
      <c r="B151" s="15">
        <v>44344</v>
      </c>
      <c r="C151" t="s">
        <v>11</v>
      </c>
      <c r="D151" t="s">
        <v>9</v>
      </c>
      <c r="E151" t="s">
        <v>19</v>
      </c>
      <c r="F151">
        <v>4</v>
      </c>
      <c r="G151">
        <v>300</v>
      </c>
      <c r="H151">
        <v>1200</v>
      </c>
    </row>
    <row r="152" spans="1:8" x14ac:dyDescent="0.3">
      <c r="A152">
        <v>202</v>
      </c>
      <c r="B152" s="15">
        <v>44398</v>
      </c>
      <c r="C152" t="s">
        <v>11</v>
      </c>
      <c r="D152" t="s">
        <v>9</v>
      </c>
      <c r="E152" t="s">
        <v>13</v>
      </c>
      <c r="F152">
        <v>6</v>
      </c>
      <c r="G152">
        <v>2100</v>
      </c>
      <c r="H152">
        <v>12600</v>
      </c>
    </row>
    <row r="153" spans="1:8" x14ac:dyDescent="0.3">
      <c r="A153">
        <v>198</v>
      </c>
      <c r="B153" s="15">
        <v>44394</v>
      </c>
      <c r="C153" t="s">
        <v>11</v>
      </c>
      <c r="D153" t="s">
        <v>9</v>
      </c>
      <c r="E153" t="s">
        <v>21</v>
      </c>
      <c r="F153">
        <v>4</v>
      </c>
      <c r="G153">
        <v>200</v>
      </c>
      <c r="H153">
        <v>800</v>
      </c>
    </row>
    <row r="154" spans="1:8" x14ac:dyDescent="0.3">
      <c r="A154">
        <v>193</v>
      </c>
      <c r="B154" s="15">
        <v>44389</v>
      </c>
      <c r="C154" t="s">
        <v>8</v>
      </c>
      <c r="D154" t="s">
        <v>9</v>
      </c>
      <c r="E154" t="s">
        <v>21</v>
      </c>
      <c r="F154">
        <v>3</v>
      </c>
      <c r="G154">
        <v>190</v>
      </c>
      <c r="H154">
        <v>570</v>
      </c>
    </row>
    <row r="155" spans="1:8" x14ac:dyDescent="0.3">
      <c r="A155">
        <v>189</v>
      </c>
      <c r="B155" s="15">
        <v>44385</v>
      </c>
      <c r="C155" t="s">
        <v>8</v>
      </c>
      <c r="D155" t="s">
        <v>9</v>
      </c>
      <c r="E155" t="s">
        <v>13</v>
      </c>
      <c r="F155">
        <v>7</v>
      </c>
      <c r="G155">
        <v>2100</v>
      </c>
      <c r="H155">
        <v>14700</v>
      </c>
    </row>
    <row r="156" spans="1:8" x14ac:dyDescent="0.3">
      <c r="A156">
        <v>188</v>
      </c>
      <c r="B156" s="15">
        <v>44384</v>
      </c>
      <c r="C156" t="s">
        <v>20</v>
      </c>
      <c r="D156" t="s">
        <v>9</v>
      </c>
      <c r="E156" t="s">
        <v>10</v>
      </c>
      <c r="F156">
        <v>2</v>
      </c>
      <c r="G156">
        <v>210</v>
      </c>
      <c r="H156">
        <v>420</v>
      </c>
    </row>
    <row r="157" spans="1:8" x14ac:dyDescent="0.3">
      <c r="A157">
        <v>187</v>
      </c>
      <c r="B157" s="15">
        <v>44383</v>
      </c>
      <c r="C157" t="s">
        <v>20</v>
      </c>
      <c r="D157" t="s">
        <v>9</v>
      </c>
      <c r="E157" t="s">
        <v>21</v>
      </c>
      <c r="F157">
        <v>2</v>
      </c>
      <c r="G157">
        <v>190</v>
      </c>
      <c r="H157">
        <v>380</v>
      </c>
    </row>
    <row r="158" spans="1:8" x14ac:dyDescent="0.3">
      <c r="A158">
        <v>155</v>
      </c>
      <c r="B158" s="15">
        <v>44351</v>
      </c>
      <c r="C158" t="s">
        <v>20</v>
      </c>
      <c r="D158" t="s">
        <v>9</v>
      </c>
      <c r="E158" t="s">
        <v>19</v>
      </c>
      <c r="F158">
        <v>3</v>
      </c>
      <c r="G158">
        <v>300</v>
      </c>
      <c r="H158">
        <v>900</v>
      </c>
    </row>
    <row r="159" spans="1:8" x14ac:dyDescent="0.3">
      <c r="A159">
        <v>186</v>
      </c>
      <c r="B159" s="15">
        <v>44382</v>
      </c>
      <c r="C159" t="s">
        <v>18</v>
      </c>
      <c r="D159" t="s">
        <v>9</v>
      </c>
      <c r="E159" t="s">
        <v>19</v>
      </c>
      <c r="F159">
        <v>3</v>
      </c>
      <c r="G159">
        <v>300</v>
      </c>
      <c r="H159">
        <v>900</v>
      </c>
    </row>
    <row r="160" spans="1:8" x14ac:dyDescent="0.3">
      <c r="A160">
        <v>184</v>
      </c>
      <c r="B160" s="15">
        <v>44380</v>
      </c>
      <c r="C160" t="s">
        <v>14</v>
      </c>
      <c r="D160" t="s">
        <v>9</v>
      </c>
      <c r="E160" t="s">
        <v>15</v>
      </c>
      <c r="F160">
        <v>5</v>
      </c>
      <c r="G160">
        <v>1200</v>
      </c>
      <c r="H160">
        <v>6000</v>
      </c>
    </row>
    <row r="161" spans="1:8" x14ac:dyDescent="0.3">
      <c r="A161">
        <v>182</v>
      </c>
      <c r="B161" s="15">
        <v>44378</v>
      </c>
      <c r="C161" t="s">
        <v>8</v>
      </c>
      <c r="D161" t="s">
        <v>9</v>
      </c>
      <c r="E161" t="s">
        <v>10</v>
      </c>
      <c r="F161">
        <v>3</v>
      </c>
      <c r="G161">
        <v>190</v>
      </c>
      <c r="H161">
        <v>570</v>
      </c>
    </row>
    <row r="162" spans="1:8" x14ac:dyDescent="0.3">
      <c r="A162">
        <v>159</v>
      </c>
      <c r="B162" s="15">
        <v>44355</v>
      </c>
      <c r="C162" t="s">
        <v>20</v>
      </c>
      <c r="D162" t="s">
        <v>9</v>
      </c>
      <c r="E162" t="s">
        <v>15</v>
      </c>
      <c r="F162">
        <v>5</v>
      </c>
      <c r="G162">
        <v>1200</v>
      </c>
      <c r="H162">
        <v>6000</v>
      </c>
    </row>
    <row r="163" spans="1:8" x14ac:dyDescent="0.3">
      <c r="A163">
        <v>181</v>
      </c>
      <c r="B163" s="15">
        <v>44377</v>
      </c>
      <c r="C163" t="s">
        <v>20</v>
      </c>
      <c r="D163" t="s">
        <v>9</v>
      </c>
      <c r="E163" t="s">
        <v>10</v>
      </c>
      <c r="F163">
        <v>3</v>
      </c>
      <c r="G163">
        <v>190</v>
      </c>
      <c r="H163">
        <v>570</v>
      </c>
    </row>
    <row r="164" spans="1:8" x14ac:dyDescent="0.3">
      <c r="A164">
        <v>180</v>
      </c>
      <c r="B164" s="15">
        <v>44376</v>
      </c>
      <c r="C164" t="s">
        <v>18</v>
      </c>
      <c r="D164" t="s">
        <v>9</v>
      </c>
      <c r="E164" t="s">
        <v>10</v>
      </c>
      <c r="F164">
        <v>3</v>
      </c>
      <c r="G164">
        <v>190</v>
      </c>
      <c r="H164">
        <v>570</v>
      </c>
    </row>
    <row r="165" spans="1:8" x14ac:dyDescent="0.3">
      <c r="A165">
        <v>179</v>
      </c>
      <c r="B165" s="15">
        <v>44375</v>
      </c>
      <c r="C165" t="s">
        <v>16</v>
      </c>
      <c r="D165" t="s">
        <v>9</v>
      </c>
      <c r="E165" t="s">
        <v>10</v>
      </c>
      <c r="F165">
        <v>3</v>
      </c>
      <c r="G165">
        <v>190</v>
      </c>
      <c r="H165">
        <v>570</v>
      </c>
    </row>
    <row r="166" spans="1:8" x14ac:dyDescent="0.3">
      <c r="A166">
        <v>163</v>
      </c>
      <c r="B166" s="15">
        <v>44359</v>
      </c>
      <c r="C166" t="s">
        <v>8</v>
      </c>
      <c r="D166" t="s">
        <v>9</v>
      </c>
      <c r="E166" t="s">
        <v>10</v>
      </c>
      <c r="F166">
        <v>2</v>
      </c>
      <c r="G166">
        <v>210</v>
      </c>
      <c r="H166">
        <v>420</v>
      </c>
    </row>
    <row r="167" spans="1:8" x14ac:dyDescent="0.3">
      <c r="A167">
        <v>178</v>
      </c>
      <c r="B167" s="15">
        <v>44374</v>
      </c>
      <c r="C167" t="s">
        <v>14</v>
      </c>
      <c r="D167" t="s">
        <v>9</v>
      </c>
      <c r="E167" t="s">
        <v>10</v>
      </c>
      <c r="F167">
        <v>3</v>
      </c>
      <c r="G167">
        <v>190</v>
      </c>
      <c r="H167">
        <v>570</v>
      </c>
    </row>
    <row r="168" spans="1:8" x14ac:dyDescent="0.3">
      <c r="A168">
        <v>165</v>
      </c>
      <c r="B168" s="15">
        <v>44361</v>
      </c>
      <c r="C168" t="s">
        <v>14</v>
      </c>
      <c r="D168" t="s">
        <v>9</v>
      </c>
      <c r="E168" t="s">
        <v>15</v>
      </c>
      <c r="F168">
        <v>6</v>
      </c>
      <c r="G168">
        <v>1200</v>
      </c>
      <c r="H168">
        <v>7200</v>
      </c>
    </row>
    <row r="169" spans="1:8" x14ac:dyDescent="0.3">
      <c r="A169">
        <v>177</v>
      </c>
      <c r="B169" s="15">
        <v>44373</v>
      </c>
      <c r="C169" t="s">
        <v>11</v>
      </c>
      <c r="D169" t="s">
        <v>9</v>
      </c>
      <c r="E169" t="s">
        <v>10</v>
      </c>
      <c r="F169">
        <v>3</v>
      </c>
      <c r="G169">
        <v>190</v>
      </c>
      <c r="H169">
        <v>570</v>
      </c>
    </row>
    <row r="170" spans="1:8" x14ac:dyDescent="0.3">
      <c r="A170">
        <v>167</v>
      </c>
      <c r="B170" s="15">
        <v>44363</v>
      </c>
      <c r="C170" t="s">
        <v>18</v>
      </c>
      <c r="D170" t="s">
        <v>9</v>
      </c>
      <c r="E170" t="s">
        <v>19</v>
      </c>
      <c r="F170">
        <v>4</v>
      </c>
      <c r="G170">
        <v>300</v>
      </c>
      <c r="H170">
        <v>1200</v>
      </c>
    </row>
    <row r="171" spans="1:8" x14ac:dyDescent="0.3">
      <c r="A171">
        <v>168</v>
      </c>
      <c r="B171" s="15">
        <v>44364</v>
      </c>
      <c r="C171" t="s">
        <v>20</v>
      </c>
      <c r="D171" t="s">
        <v>9</v>
      </c>
      <c r="E171" t="s">
        <v>21</v>
      </c>
      <c r="F171">
        <v>3</v>
      </c>
      <c r="G171">
        <v>190</v>
      </c>
      <c r="H171">
        <v>570</v>
      </c>
    </row>
    <row r="172" spans="1:8" x14ac:dyDescent="0.3">
      <c r="A172">
        <v>169</v>
      </c>
      <c r="B172" s="15">
        <v>44365</v>
      </c>
      <c r="C172" t="s">
        <v>8</v>
      </c>
      <c r="D172" t="s">
        <v>9</v>
      </c>
      <c r="E172" t="s">
        <v>10</v>
      </c>
      <c r="F172">
        <v>2</v>
      </c>
      <c r="G172">
        <v>210</v>
      </c>
      <c r="H172">
        <v>420</v>
      </c>
    </row>
    <row r="173" spans="1:8" x14ac:dyDescent="0.3">
      <c r="A173">
        <v>176</v>
      </c>
      <c r="B173" s="15">
        <v>44372</v>
      </c>
      <c r="C173" t="s">
        <v>8</v>
      </c>
      <c r="D173" t="s">
        <v>9</v>
      </c>
      <c r="E173" t="s">
        <v>10</v>
      </c>
      <c r="F173">
        <v>7</v>
      </c>
      <c r="G173">
        <v>210</v>
      </c>
      <c r="H173">
        <v>1470</v>
      </c>
    </row>
    <row r="174" spans="1:8" x14ac:dyDescent="0.3">
      <c r="A174">
        <v>175</v>
      </c>
      <c r="B174" s="15">
        <v>44371</v>
      </c>
      <c r="C174" t="s">
        <v>20</v>
      </c>
      <c r="D174" t="s">
        <v>9</v>
      </c>
      <c r="E174" t="s">
        <v>13</v>
      </c>
      <c r="F174">
        <v>2</v>
      </c>
      <c r="G174">
        <v>2100</v>
      </c>
      <c r="H174">
        <v>4200</v>
      </c>
    </row>
    <row r="175" spans="1:8" x14ac:dyDescent="0.3">
      <c r="A175">
        <v>172</v>
      </c>
      <c r="B175" s="15">
        <v>44368</v>
      </c>
      <c r="C175" t="s">
        <v>16</v>
      </c>
      <c r="D175" t="s">
        <v>9</v>
      </c>
      <c r="E175" t="s">
        <v>19</v>
      </c>
      <c r="F175">
        <v>5</v>
      </c>
      <c r="G175">
        <v>300</v>
      </c>
      <c r="H175">
        <v>1500</v>
      </c>
    </row>
    <row r="176" spans="1:8" x14ac:dyDescent="0.3">
      <c r="A176">
        <v>173</v>
      </c>
      <c r="B176" s="15">
        <v>44369</v>
      </c>
      <c r="C176" t="s">
        <v>18</v>
      </c>
      <c r="D176" t="s">
        <v>9</v>
      </c>
      <c r="E176" t="s">
        <v>21</v>
      </c>
      <c r="F176">
        <v>4</v>
      </c>
      <c r="G176">
        <v>200</v>
      </c>
      <c r="H176">
        <v>800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2E8C-315A-4844-BE07-96A1E44A4064}">
  <dimension ref="A1:AL31"/>
  <sheetViews>
    <sheetView topLeftCell="A21" workbookViewId="0">
      <selection activeCell="S17" sqref="S17"/>
    </sheetView>
  </sheetViews>
  <sheetFormatPr defaultRowHeight="18.75" x14ac:dyDescent="0.3"/>
  <cols>
    <col min="1" max="1" width="11.3984375" bestFit="1" customWidth="1"/>
    <col min="2" max="2" width="13.19921875" bestFit="1" customWidth="1"/>
    <col min="8" max="8" width="11.3984375" bestFit="1" customWidth="1"/>
    <col min="9" max="9" width="9.59765625" bestFit="1" customWidth="1"/>
    <col min="10" max="10" width="13.19921875" bestFit="1" customWidth="1"/>
    <col min="14" max="14" width="11.3984375" bestFit="1" customWidth="1"/>
    <col min="15" max="15" width="13.19921875" bestFit="1" customWidth="1"/>
    <col min="19" max="19" width="13.19921875" bestFit="1" customWidth="1"/>
    <col min="22" max="22" width="14.5" bestFit="1" customWidth="1"/>
    <col min="24" max="24" width="15.59765625" bestFit="1" customWidth="1"/>
    <col min="25" max="25" width="9.59765625" bestFit="1" customWidth="1"/>
    <col min="27" max="27" width="11.3984375" bestFit="1" customWidth="1"/>
    <col min="28" max="28" width="9.59765625" bestFit="1" customWidth="1"/>
    <col min="32" max="32" width="11.3984375" bestFit="1" customWidth="1"/>
    <col min="33" max="33" width="9.59765625" bestFit="1" customWidth="1"/>
    <col min="37" max="37" width="11.09765625" customWidth="1"/>
  </cols>
  <sheetData>
    <row r="1" spans="1:38" x14ac:dyDescent="0.3">
      <c r="S1" t="s">
        <v>33</v>
      </c>
      <c r="V1" t="s">
        <v>34</v>
      </c>
    </row>
    <row r="2" spans="1:38" x14ac:dyDescent="0.3">
      <c r="A2" s="7" t="s">
        <v>24</v>
      </c>
      <c r="B2" t="s">
        <v>33</v>
      </c>
      <c r="I2" s="7" t="s">
        <v>24</v>
      </c>
      <c r="J2" t="s">
        <v>33</v>
      </c>
      <c r="N2" s="7" t="s">
        <v>24</v>
      </c>
      <c r="O2" t="s">
        <v>33</v>
      </c>
      <c r="S2" s="14">
        <v>1782570</v>
      </c>
      <c r="T2" s="12">
        <f>S2</f>
        <v>1782570</v>
      </c>
      <c r="V2" s="14">
        <v>366</v>
      </c>
      <c r="W2" s="14">
        <f>V2</f>
        <v>366</v>
      </c>
      <c r="AA2" s="7" t="s">
        <v>24</v>
      </c>
      <c r="AB2" t="s">
        <v>35</v>
      </c>
      <c r="AF2" s="7" t="s">
        <v>24</v>
      </c>
      <c r="AG2" t="s">
        <v>35</v>
      </c>
      <c r="AJ2" s="18"/>
      <c r="AK2" s="18"/>
      <c r="AL2" s="18"/>
    </row>
    <row r="3" spans="1:38" x14ac:dyDescent="0.3">
      <c r="A3" s="8" t="s">
        <v>40</v>
      </c>
      <c r="B3" s="14">
        <v>143130</v>
      </c>
      <c r="I3" s="8" t="s">
        <v>9</v>
      </c>
      <c r="J3" s="14">
        <v>736080</v>
      </c>
      <c r="N3" s="8" t="s">
        <v>21</v>
      </c>
      <c r="O3" s="13">
        <v>1.4204210774331443E-2</v>
      </c>
      <c r="AA3" s="8" t="s">
        <v>17</v>
      </c>
      <c r="AB3" s="14">
        <v>242</v>
      </c>
      <c r="AF3" s="8" t="s">
        <v>21</v>
      </c>
      <c r="AG3" s="14">
        <v>132</v>
      </c>
      <c r="AJ3" s="8"/>
      <c r="AK3" s="14"/>
      <c r="AL3" s="14"/>
    </row>
    <row r="4" spans="1:38" x14ac:dyDescent="0.3">
      <c r="A4" s="8" t="s">
        <v>39</v>
      </c>
      <c r="B4" s="14">
        <v>224470</v>
      </c>
      <c r="I4" s="8" t="s">
        <v>22</v>
      </c>
      <c r="J4" s="14">
        <v>203680</v>
      </c>
      <c r="N4" s="8" t="s">
        <v>15</v>
      </c>
      <c r="O4" s="13">
        <v>0.19017485989330013</v>
      </c>
      <c r="X4" s="7" t="s">
        <v>24</v>
      </c>
      <c r="Y4" t="s">
        <v>35</v>
      </c>
      <c r="AA4" s="8" t="s">
        <v>19</v>
      </c>
      <c r="AB4" s="14">
        <v>218</v>
      </c>
      <c r="AF4" s="8" t="s">
        <v>15</v>
      </c>
      <c r="AG4" s="14">
        <v>251</v>
      </c>
      <c r="AJ4" s="8"/>
      <c r="AK4" s="14"/>
      <c r="AL4" s="14"/>
    </row>
    <row r="5" spans="1:38" x14ac:dyDescent="0.3">
      <c r="A5" s="8" t="s">
        <v>38</v>
      </c>
      <c r="B5" s="14">
        <v>86100</v>
      </c>
      <c r="I5" s="8" t="s">
        <v>23</v>
      </c>
      <c r="J5" s="14">
        <v>335480</v>
      </c>
      <c r="N5" s="8" t="s">
        <v>10</v>
      </c>
      <c r="O5" s="13">
        <v>3.7109342129621838E-2</v>
      </c>
      <c r="X5" s="8" t="s">
        <v>15</v>
      </c>
      <c r="Y5" s="14">
        <v>251</v>
      </c>
      <c r="AA5" s="8" t="s">
        <v>21</v>
      </c>
      <c r="AB5" s="14">
        <v>132</v>
      </c>
      <c r="AF5" s="8" t="s">
        <v>10</v>
      </c>
      <c r="AG5" s="14">
        <v>319</v>
      </c>
      <c r="AJ5" s="8"/>
      <c r="AK5" s="14"/>
      <c r="AL5" s="14"/>
    </row>
    <row r="6" spans="1:38" x14ac:dyDescent="0.3">
      <c r="A6" s="8" t="s">
        <v>26</v>
      </c>
      <c r="B6" s="14">
        <v>153530</v>
      </c>
      <c r="I6" s="8" t="s">
        <v>12</v>
      </c>
      <c r="J6" s="14">
        <v>507330</v>
      </c>
      <c r="N6" s="8" t="s">
        <v>13</v>
      </c>
      <c r="O6" s="13">
        <v>0.52424308722799107</v>
      </c>
      <c r="X6" s="8" t="s">
        <v>10</v>
      </c>
      <c r="Y6" s="14">
        <v>319</v>
      </c>
      <c r="AF6" s="8" t="s">
        <v>13</v>
      </c>
      <c r="AG6" s="14">
        <v>445</v>
      </c>
      <c r="AJ6" s="8"/>
      <c r="AK6" s="14"/>
      <c r="AL6" s="14"/>
    </row>
    <row r="7" spans="1:38" x14ac:dyDescent="0.3">
      <c r="A7" s="8" t="s">
        <v>27</v>
      </c>
      <c r="B7" s="14">
        <v>110160</v>
      </c>
      <c r="N7" s="8" t="s">
        <v>17</v>
      </c>
      <c r="O7" s="13">
        <v>0.1975798986856056</v>
      </c>
      <c r="X7" s="8" t="s">
        <v>13</v>
      </c>
      <c r="Y7" s="14">
        <v>445</v>
      </c>
      <c r="AF7" s="8" t="s">
        <v>17</v>
      </c>
      <c r="AG7" s="14">
        <v>242</v>
      </c>
      <c r="AJ7" s="8"/>
      <c r="AK7" s="14"/>
      <c r="AL7" s="14"/>
    </row>
    <row r="8" spans="1:38" x14ac:dyDescent="0.3">
      <c r="A8" s="8" t="s">
        <v>28</v>
      </c>
      <c r="B8" s="14">
        <v>118530</v>
      </c>
      <c r="N8" s="8" t="s">
        <v>19</v>
      </c>
      <c r="O8" s="13">
        <v>3.6688601289149934E-2</v>
      </c>
      <c r="AF8" s="8" t="s">
        <v>19</v>
      </c>
      <c r="AG8" s="14">
        <v>218</v>
      </c>
    </row>
    <row r="9" spans="1:38" x14ac:dyDescent="0.3">
      <c r="A9" s="8" t="s">
        <v>29</v>
      </c>
      <c r="B9" s="14">
        <v>130100</v>
      </c>
    </row>
    <row r="10" spans="1:38" x14ac:dyDescent="0.3">
      <c r="A10" s="8" t="s">
        <v>30</v>
      </c>
      <c r="B10" s="14">
        <v>156300</v>
      </c>
    </row>
    <row r="11" spans="1:38" x14ac:dyDescent="0.3">
      <c r="A11" s="8" t="s">
        <v>31</v>
      </c>
      <c r="B11" s="14">
        <v>223770</v>
      </c>
      <c r="X11" t="s">
        <v>35</v>
      </c>
    </row>
    <row r="12" spans="1:38" x14ac:dyDescent="0.3">
      <c r="A12" s="8" t="s">
        <v>32</v>
      </c>
      <c r="B12" s="14">
        <v>197350</v>
      </c>
      <c r="X12" s="19">
        <v>1607</v>
      </c>
    </row>
    <row r="13" spans="1:38" x14ac:dyDescent="0.3">
      <c r="A13" s="8" t="s">
        <v>36</v>
      </c>
      <c r="B13" s="14">
        <v>31520</v>
      </c>
    </row>
    <row r="14" spans="1:38" x14ac:dyDescent="0.3">
      <c r="A14" s="8" t="s">
        <v>37</v>
      </c>
      <c r="B14" s="14">
        <v>207610</v>
      </c>
    </row>
    <row r="15" spans="1:38" x14ac:dyDescent="0.3">
      <c r="X15" t="s">
        <v>42</v>
      </c>
    </row>
    <row r="16" spans="1:38" x14ac:dyDescent="0.3">
      <c r="X16" s="14">
        <v>366</v>
      </c>
    </row>
    <row r="18" spans="1:9" x14ac:dyDescent="0.3">
      <c r="H18" s="7" t="s">
        <v>24</v>
      </c>
      <c r="I18" t="s">
        <v>35</v>
      </c>
    </row>
    <row r="19" spans="1:9" x14ac:dyDescent="0.3">
      <c r="H19" s="8" t="s">
        <v>11</v>
      </c>
      <c r="I19" s="14">
        <v>360</v>
      </c>
    </row>
    <row r="20" spans="1:9" x14ac:dyDescent="0.3">
      <c r="H20" s="8" t="s">
        <v>8</v>
      </c>
      <c r="I20" s="14">
        <v>394</v>
      </c>
    </row>
    <row r="21" spans="1:9" x14ac:dyDescent="0.3">
      <c r="H21" s="8" t="s">
        <v>20</v>
      </c>
      <c r="I21" s="14">
        <v>419</v>
      </c>
    </row>
    <row r="25" spans="1:9" x14ac:dyDescent="0.3">
      <c r="A25" s="7" t="s">
        <v>24</v>
      </c>
      <c r="B25" t="s">
        <v>33</v>
      </c>
    </row>
    <row r="26" spans="1:9" x14ac:dyDescent="0.3">
      <c r="A26" s="8" t="s">
        <v>8</v>
      </c>
      <c r="B26" s="14">
        <v>386030</v>
      </c>
      <c r="H26" s="7" t="s">
        <v>24</v>
      </c>
      <c r="I26" t="s">
        <v>35</v>
      </c>
    </row>
    <row r="27" spans="1:9" x14ac:dyDescent="0.3">
      <c r="A27" s="8" t="s">
        <v>16</v>
      </c>
      <c r="B27" s="14">
        <v>184690</v>
      </c>
      <c r="H27" s="8" t="s">
        <v>16</v>
      </c>
      <c r="I27" s="14">
        <v>146</v>
      </c>
    </row>
    <row r="28" spans="1:9" x14ac:dyDescent="0.3">
      <c r="A28" s="8" t="s">
        <v>18</v>
      </c>
      <c r="B28" s="14">
        <v>125600</v>
      </c>
      <c r="H28" s="8" t="s">
        <v>18</v>
      </c>
      <c r="I28" s="14">
        <v>144</v>
      </c>
    </row>
    <row r="29" spans="1:9" x14ac:dyDescent="0.3">
      <c r="A29" s="8" t="s">
        <v>14</v>
      </c>
      <c r="B29" s="14">
        <v>139880</v>
      </c>
      <c r="H29" s="8" t="s">
        <v>14</v>
      </c>
      <c r="I29" s="14">
        <v>144</v>
      </c>
    </row>
    <row r="30" spans="1:9" x14ac:dyDescent="0.3">
      <c r="A30" s="8" t="s">
        <v>11</v>
      </c>
      <c r="B30" s="14">
        <v>394410</v>
      </c>
    </row>
    <row r="31" spans="1:9" x14ac:dyDescent="0.3">
      <c r="A31" s="8" t="s">
        <v>20</v>
      </c>
      <c r="B31" s="14">
        <v>551960</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J367"/>
  <sheetViews>
    <sheetView workbookViewId="0">
      <selection activeCell="J5" sqref="J5"/>
    </sheetView>
  </sheetViews>
  <sheetFormatPr defaultRowHeight="18.75" x14ac:dyDescent="0.3"/>
  <cols>
    <col min="2" max="2" width="13.09765625" customWidth="1"/>
    <col min="6" max="7" width="8.796875" style="11"/>
    <col min="8" max="8" width="14.296875" style="11" customWidth="1"/>
  </cols>
  <sheetData>
    <row r="1" spans="1:10" x14ac:dyDescent="0.3">
      <c r="A1" s="1" t="s">
        <v>0</v>
      </c>
      <c r="B1" s="2" t="s">
        <v>1</v>
      </c>
      <c r="C1" s="3" t="s">
        <v>2</v>
      </c>
      <c r="D1" s="3" t="s">
        <v>3</v>
      </c>
      <c r="E1" s="3" t="s">
        <v>4</v>
      </c>
      <c r="F1" s="9" t="s">
        <v>5</v>
      </c>
      <c r="G1" s="9" t="s">
        <v>6</v>
      </c>
      <c r="H1" s="9" t="s">
        <v>7</v>
      </c>
    </row>
    <row r="2" spans="1:10" x14ac:dyDescent="0.3">
      <c r="A2" s="4">
        <v>1</v>
      </c>
      <c r="B2" s="5">
        <v>44197</v>
      </c>
      <c r="C2" s="6" t="s">
        <v>8</v>
      </c>
      <c r="D2" s="6" t="s">
        <v>9</v>
      </c>
      <c r="E2" s="6" t="s">
        <v>10</v>
      </c>
      <c r="F2" s="10">
        <v>7</v>
      </c>
      <c r="G2" s="10">
        <v>210</v>
      </c>
      <c r="H2" s="10">
        <f>F2*G2</f>
        <v>1470</v>
      </c>
      <c r="J2" s="11"/>
    </row>
    <row r="3" spans="1:10" x14ac:dyDescent="0.3">
      <c r="A3" s="4">
        <v>2</v>
      </c>
      <c r="B3" s="5">
        <v>44198</v>
      </c>
      <c r="C3" s="6" t="s">
        <v>11</v>
      </c>
      <c r="D3" s="6" t="s">
        <v>12</v>
      </c>
      <c r="E3" s="6" t="s">
        <v>13</v>
      </c>
      <c r="F3" s="10">
        <v>6</v>
      </c>
      <c r="G3" s="10">
        <v>2100</v>
      </c>
      <c r="H3" s="10">
        <f t="shared" ref="H3:H38" si="0">F3*G3</f>
        <v>12600</v>
      </c>
    </row>
    <row r="4" spans="1:10" x14ac:dyDescent="0.3">
      <c r="A4" s="4">
        <v>3</v>
      </c>
      <c r="B4" s="5">
        <v>44199</v>
      </c>
      <c r="C4" s="6" t="s">
        <v>14</v>
      </c>
      <c r="D4" s="6" t="s">
        <v>9</v>
      </c>
      <c r="E4" s="6" t="s">
        <v>15</v>
      </c>
      <c r="F4" s="10">
        <v>5</v>
      </c>
      <c r="G4" s="10">
        <v>1200</v>
      </c>
      <c r="H4" s="10">
        <f t="shared" si="0"/>
        <v>6000</v>
      </c>
    </row>
    <row r="5" spans="1:10" x14ac:dyDescent="0.3">
      <c r="A5" s="4">
        <v>4</v>
      </c>
      <c r="B5" s="5">
        <v>44200</v>
      </c>
      <c r="C5" s="6" t="s">
        <v>16</v>
      </c>
      <c r="D5" s="6" t="s">
        <v>12</v>
      </c>
      <c r="E5" s="6" t="s">
        <v>17</v>
      </c>
      <c r="F5" s="10">
        <v>4</v>
      </c>
      <c r="G5" s="10">
        <v>1500</v>
      </c>
      <c r="H5" s="10">
        <f t="shared" si="0"/>
        <v>6000</v>
      </c>
    </row>
    <row r="6" spans="1:10" x14ac:dyDescent="0.3">
      <c r="A6" s="4">
        <v>5</v>
      </c>
      <c r="B6" s="5">
        <v>44201</v>
      </c>
      <c r="C6" s="6" t="s">
        <v>18</v>
      </c>
      <c r="D6" s="6" t="s">
        <v>9</v>
      </c>
      <c r="E6" s="6" t="s">
        <v>19</v>
      </c>
      <c r="F6" s="10">
        <v>3</v>
      </c>
      <c r="G6" s="10">
        <v>300</v>
      </c>
      <c r="H6" s="10">
        <f t="shared" si="0"/>
        <v>900</v>
      </c>
    </row>
    <row r="7" spans="1:10" x14ac:dyDescent="0.3">
      <c r="A7" s="4">
        <v>6</v>
      </c>
      <c r="B7" s="5">
        <v>44202</v>
      </c>
      <c r="C7" s="6" t="s">
        <v>20</v>
      </c>
      <c r="D7" s="6" t="s">
        <v>9</v>
      </c>
      <c r="E7" s="6" t="s">
        <v>21</v>
      </c>
      <c r="F7" s="10">
        <v>2</v>
      </c>
      <c r="G7" s="10">
        <v>190</v>
      </c>
      <c r="H7" s="10">
        <f t="shared" si="0"/>
        <v>380</v>
      </c>
    </row>
    <row r="8" spans="1:10" x14ac:dyDescent="0.3">
      <c r="A8" s="4">
        <v>7</v>
      </c>
      <c r="B8" s="5">
        <v>44203</v>
      </c>
      <c r="C8" s="6" t="s">
        <v>8</v>
      </c>
      <c r="D8" s="6" t="s">
        <v>9</v>
      </c>
      <c r="E8" s="6" t="s">
        <v>10</v>
      </c>
      <c r="F8" s="10">
        <v>7</v>
      </c>
      <c r="G8" s="10">
        <v>210</v>
      </c>
      <c r="H8" s="10">
        <f t="shared" si="0"/>
        <v>1470</v>
      </c>
    </row>
    <row r="9" spans="1:10" x14ac:dyDescent="0.3">
      <c r="A9" s="4">
        <v>8</v>
      </c>
      <c r="B9" s="5">
        <v>44204</v>
      </c>
      <c r="C9" s="6" t="s">
        <v>11</v>
      </c>
      <c r="D9" s="6" t="s">
        <v>12</v>
      </c>
      <c r="E9" s="6" t="s">
        <v>13</v>
      </c>
      <c r="F9" s="10">
        <v>6</v>
      </c>
      <c r="G9" s="10">
        <v>2100</v>
      </c>
      <c r="H9" s="10">
        <f t="shared" si="0"/>
        <v>12600</v>
      </c>
    </row>
    <row r="10" spans="1:10" x14ac:dyDescent="0.3">
      <c r="A10" s="4">
        <v>9</v>
      </c>
      <c r="B10" s="5">
        <v>44205</v>
      </c>
      <c r="C10" s="6" t="s">
        <v>14</v>
      </c>
      <c r="D10" s="6" t="s">
        <v>12</v>
      </c>
      <c r="E10" s="6" t="s">
        <v>15</v>
      </c>
      <c r="F10" s="10">
        <v>5</v>
      </c>
      <c r="G10" s="10">
        <v>1200</v>
      </c>
      <c r="H10" s="10">
        <f t="shared" si="0"/>
        <v>6000</v>
      </c>
    </row>
    <row r="11" spans="1:10" x14ac:dyDescent="0.3">
      <c r="A11" s="4">
        <v>10</v>
      </c>
      <c r="B11" s="5">
        <v>44206</v>
      </c>
      <c r="C11" s="6" t="s">
        <v>16</v>
      </c>
      <c r="D11" s="6" t="s">
        <v>9</v>
      </c>
      <c r="E11" s="6" t="s">
        <v>17</v>
      </c>
      <c r="F11" s="10">
        <v>4</v>
      </c>
      <c r="G11" s="10">
        <v>1500</v>
      </c>
      <c r="H11" s="10">
        <f t="shared" si="0"/>
        <v>6000</v>
      </c>
    </row>
    <row r="12" spans="1:10" x14ac:dyDescent="0.3">
      <c r="A12" s="4">
        <v>11</v>
      </c>
      <c r="B12" s="5">
        <v>44207</v>
      </c>
      <c r="C12" s="6" t="s">
        <v>18</v>
      </c>
      <c r="D12" s="6" t="s">
        <v>9</v>
      </c>
      <c r="E12" s="6" t="s">
        <v>19</v>
      </c>
      <c r="F12" s="10">
        <v>3</v>
      </c>
      <c r="G12" s="10">
        <v>300</v>
      </c>
      <c r="H12" s="10">
        <f t="shared" si="0"/>
        <v>900</v>
      </c>
    </row>
    <row r="13" spans="1:10" x14ac:dyDescent="0.3">
      <c r="A13" s="4">
        <v>12</v>
      </c>
      <c r="B13" s="5">
        <v>44208</v>
      </c>
      <c r="C13" s="6" t="s">
        <v>20</v>
      </c>
      <c r="D13" s="6" t="s">
        <v>12</v>
      </c>
      <c r="E13" s="6" t="s">
        <v>21</v>
      </c>
      <c r="F13" s="10">
        <v>2</v>
      </c>
      <c r="G13" s="10">
        <v>190</v>
      </c>
      <c r="H13" s="10">
        <f t="shared" si="0"/>
        <v>380</v>
      </c>
    </row>
    <row r="14" spans="1:10" x14ac:dyDescent="0.3">
      <c r="A14" s="4">
        <v>13</v>
      </c>
      <c r="B14" s="5">
        <v>44209</v>
      </c>
      <c r="C14" s="6" t="s">
        <v>20</v>
      </c>
      <c r="D14" s="6" t="s">
        <v>9</v>
      </c>
      <c r="E14" s="6" t="s">
        <v>10</v>
      </c>
      <c r="F14" s="10">
        <v>2</v>
      </c>
      <c r="G14" s="10">
        <v>210</v>
      </c>
      <c r="H14" s="10">
        <f t="shared" si="0"/>
        <v>420</v>
      </c>
    </row>
    <row r="15" spans="1:10" x14ac:dyDescent="0.3">
      <c r="A15" s="4">
        <v>14</v>
      </c>
      <c r="B15" s="5">
        <v>44210</v>
      </c>
      <c r="C15" s="6" t="s">
        <v>8</v>
      </c>
      <c r="D15" s="6" t="s">
        <v>9</v>
      </c>
      <c r="E15" s="6" t="s">
        <v>13</v>
      </c>
      <c r="F15" s="10">
        <v>7</v>
      </c>
      <c r="G15" s="10">
        <v>2100</v>
      </c>
      <c r="H15" s="10">
        <f t="shared" si="0"/>
        <v>14700</v>
      </c>
    </row>
    <row r="16" spans="1:10" x14ac:dyDescent="0.3">
      <c r="A16" s="4">
        <v>15</v>
      </c>
      <c r="B16" s="5">
        <v>44211</v>
      </c>
      <c r="C16" s="6" t="s">
        <v>11</v>
      </c>
      <c r="D16" s="6" t="s">
        <v>9</v>
      </c>
      <c r="E16" s="6" t="s">
        <v>15</v>
      </c>
      <c r="F16" s="10">
        <v>6</v>
      </c>
      <c r="G16" s="10">
        <v>1200</v>
      </c>
      <c r="H16" s="10">
        <f t="shared" si="0"/>
        <v>7200</v>
      </c>
    </row>
    <row r="17" spans="1:8" x14ac:dyDescent="0.3">
      <c r="A17" s="4">
        <v>16</v>
      </c>
      <c r="B17" s="5">
        <v>44212</v>
      </c>
      <c r="C17" s="6" t="s">
        <v>14</v>
      </c>
      <c r="D17" s="6" t="s">
        <v>9</v>
      </c>
      <c r="E17" s="6" t="s">
        <v>17</v>
      </c>
      <c r="F17" s="10">
        <v>5</v>
      </c>
      <c r="G17" s="10">
        <v>1500</v>
      </c>
      <c r="H17" s="10">
        <f t="shared" si="0"/>
        <v>7500</v>
      </c>
    </row>
    <row r="18" spans="1:8" x14ac:dyDescent="0.3">
      <c r="A18" s="4">
        <v>17</v>
      </c>
      <c r="B18" s="5">
        <v>44213</v>
      </c>
      <c r="C18" s="6" t="s">
        <v>16</v>
      </c>
      <c r="D18" s="6" t="s">
        <v>9</v>
      </c>
      <c r="E18" s="6" t="s">
        <v>19</v>
      </c>
      <c r="F18" s="10">
        <v>4</v>
      </c>
      <c r="G18" s="10">
        <v>300</v>
      </c>
      <c r="H18" s="10">
        <f t="shared" si="0"/>
        <v>1200</v>
      </c>
    </row>
    <row r="19" spans="1:8" x14ac:dyDescent="0.3">
      <c r="A19" s="4">
        <v>18</v>
      </c>
      <c r="B19" s="5">
        <v>44214</v>
      </c>
      <c r="C19" s="6" t="s">
        <v>18</v>
      </c>
      <c r="D19" s="6" t="s">
        <v>9</v>
      </c>
      <c r="E19" s="6" t="s">
        <v>21</v>
      </c>
      <c r="F19" s="10">
        <v>3</v>
      </c>
      <c r="G19" s="10">
        <v>190</v>
      </c>
      <c r="H19" s="10">
        <f t="shared" si="0"/>
        <v>570</v>
      </c>
    </row>
    <row r="20" spans="1:8" x14ac:dyDescent="0.3">
      <c r="A20" s="4">
        <v>19</v>
      </c>
      <c r="B20" s="5">
        <v>44215</v>
      </c>
      <c r="C20" s="6" t="s">
        <v>20</v>
      </c>
      <c r="D20" s="6" t="s">
        <v>9</v>
      </c>
      <c r="E20" s="6" t="s">
        <v>10</v>
      </c>
      <c r="F20" s="10">
        <v>2</v>
      </c>
      <c r="G20" s="10">
        <v>210</v>
      </c>
      <c r="H20" s="10">
        <f t="shared" si="0"/>
        <v>420</v>
      </c>
    </row>
    <row r="21" spans="1:8" x14ac:dyDescent="0.3">
      <c r="A21" s="4">
        <v>20</v>
      </c>
      <c r="B21" s="5">
        <v>44216</v>
      </c>
      <c r="C21" s="6" t="s">
        <v>8</v>
      </c>
      <c r="D21" s="6" t="s">
        <v>9</v>
      </c>
      <c r="E21" s="6" t="s">
        <v>15</v>
      </c>
      <c r="F21" s="10">
        <v>7</v>
      </c>
      <c r="G21" s="10">
        <v>2100</v>
      </c>
      <c r="H21" s="10">
        <f t="shared" si="0"/>
        <v>14700</v>
      </c>
    </row>
    <row r="22" spans="1:8" x14ac:dyDescent="0.3">
      <c r="A22" s="4">
        <v>21</v>
      </c>
      <c r="B22" s="5">
        <v>44217</v>
      </c>
      <c r="C22" s="6" t="s">
        <v>11</v>
      </c>
      <c r="D22" s="6" t="s">
        <v>12</v>
      </c>
      <c r="E22" s="6" t="s">
        <v>17</v>
      </c>
      <c r="F22" s="10">
        <v>6</v>
      </c>
      <c r="G22" s="10">
        <v>1200</v>
      </c>
      <c r="H22" s="10">
        <f t="shared" si="0"/>
        <v>7200</v>
      </c>
    </row>
    <row r="23" spans="1:8" x14ac:dyDescent="0.3">
      <c r="A23" s="4">
        <v>22</v>
      </c>
      <c r="B23" s="5">
        <v>44218</v>
      </c>
      <c r="C23" s="6" t="s">
        <v>14</v>
      </c>
      <c r="D23" s="6" t="s">
        <v>9</v>
      </c>
      <c r="E23" s="6" t="s">
        <v>19</v>
      </c>
      <c r="F23" s="10">
        <v>5</v>
      </c>
      <c r="G23" s="10">
        <v>300</v>
      </c>
      <c r="H23" s="10">
        <f t="shared" si="0"/>
        <v>1500</v>
      </c>
    </row>
    <row r="24" spans="1:8" x14ac:dyDescent="0.3">
      <c r="A24" s="4">
        <v>23</v>
      </c>
      <c r="B24" s="5">
        <v>44219</v>
      </c>
      <c r="C24" s="6" t="s">
        <v>16</v>
      </c>
      <c r="D24" s="6" t="s">
        <v>12</v>
      </c>
      <c r="E24" s="6" t="s">
        <v>21</v>
      </c>
      <c r="F24" s="10">
        <v>4</v>
      </c>
      <c r="G24" s="10">
        <v>200</v>
      </c>
      <c r="H24" s="10">
        <f t="shared" si="0"/>
        <v>800</v>
      </c>
    </row>
    <row r="25" spans="1:8" x14ac:dyDescent="0.3">
      <c r="A25" s="4">
        <v>24</v>
      </c>
      <c r="B25" s="5">
        <v>44220</v>
      </c>
      <c r="C25" s="6" t="s">
        <v>18</v>
      </c>
      <c r="D25" s="6" t="s">
        <v>9</v>
      </c>
      <c r="E25" s="6" t="s">
        <v>10</v>
      </c>
      <c r="F25" s="10">
        <v>3</v>
      </c>
      <c r="G25" s="10">
        <v>190</v>
      </c>
      <c r="H25" s="10">
        <f t="shared" si="0"/>
        <v>570</v>
      </c>
    </row>
    <row r="26" spans="1:8" x14ac:dyDescent="0.3">
      <c r="A26" s="4">
        <v>25</v>
      </c>
      <c r="B26" s="5">
        <v>44221</v>
      </c>
      <c r="C26" s="6" t="s">
        <v>20</v>
      </c>
      <c r="D26" s="6" t="s">
        <v>9</v>
      </c>
      <c r="E26" s="6" t="s">
        <v>13</v>
      </c>
      <c r="F26" s="10">
        <v>2</v>
      </c>
      <c r="G26" s="10">
        <v>2100</v>
      </c>
      <c r="H26" s="10">
        <f t="shared" si="0"/>
        <v>4200</v>
      </c>
    </row>
    <row r="27" spans="1:8" x14ac:dyDescent="0.3">
      <c r="A27" s="4">
        <v>26</v>
      </c>
      <c r="B27" s="5">
        <v>44222</v>
      </c>
      <c r="C27" s="6" t="s">
        <v>20</v>
      </c>
      <c r="D27" s="6" t="s">
        <v>9</v>
      </c>
      <c r="E27" s="6" t="s">
        <v>10</v>
      </c>
      <c r="F27" s="10">
        <v>7</v>
      </c>
      <c r="G27" s="10">
        <v>210</v>
      </c>
      <c r="H27" s="10">
        <f t="shared" si="0"/>
        <v>1470</v>
      </c>
    </row>
    <row r="28" spans="1:8" x14ac:dyDescent="0.3">
      <c r="A28" s="4">
        <v>27</v>
      </c>
      <c r="B28" s="5">
        <v>44223</v>
      </c>
      <c r="C28" s="6" t="s">
        <v>8</v>
      </c>
      <c r="D28" s="6" t="s">
        <v>9</v>
      </c>
      <c r="E28" s="6" t="s">
        <v>13</v>
      </c>
      <c r="F28" s="10">
        <v>6</v>
      </c>
      <c r="G28" s="10">
        <v>2100</v>
      </c>
      <c r="H28" s="10">
        <f t="shared" si="0"/>
        <v>12600</v>
      </c>
    </row>
    <row r="29" spans="1:8" x14ac:dyDescent="0.3">
      <c r="A29" s="4">
        <v>28</v>
      </c>
      <c r="B29" s="5">
        <v>44224</v>
      </c>
      <c r="C29" s="6" t="s">
        <v>8</v>
      </c>
      <c r="D29" s="6" t="s">
        <v>12</v>
      </c>
      <c r="E29" s="6" t="s">
        <v>10</v>
      </c>
      <c r="F29" s="10">
        <v>7</v>
      </c>
      <c r="G29" s="10">
        <v>210</v>
      </c>
      <c r="H29" s="10">
        <f t="shared" si="0"/>
        <v>1470</v>
      </c>
    </row>
    <row r="30" spans="1:8" x14ac:dyDescent="0.3">
      <c r="A30" s="4">
        <v>29</v>
      </c>
      <c r="B30" s="5">
        <v>44225</v>
      </c>
      <c r="C30" s="6" t="s">
        <v>8</v>
      </c>
      <c r="D30" s="6" t="s">
        <v>22</v>
      </c>
      <c r="E30" s="6" t="s">
        <v>10</v>
      </c>
      <c r="F30" s="10">
        <v>7</v>
      </c>
      <c r="G30" s="10">
        <v>210</v>
      </c>
      <c r="H30" s="10">
        <f t="shared" si="0"/>
        <v>1470</v>
      </c>
    </row>
    <row r="31" spans="1:8" x14ac:dyDescent="0.3">
      <c r="A31" s="4">
        <v>30</v>
      </c>
      <c r="B31" s="5">
        <v>44226</v>
      </c>
      <c r="C31" s="6" t="s">
        <v>8</v>
      </c>
      <c r="D31" s="6" t="s">
        <v>23</v>
      </c>
      <c r="E31" s="6" t="s">
        <v>10</v>
      </c>
      <c r="F31" s="10">
        <v>7</v>
      </c>
      <c r="G31" s="10">
        <v>210</v>
      </c>
      <c r="H31" s="10">
        <f t="shared" si="0"/>
        <v>1470</v>
      </c>
    </row>
    <row r="32" spans="1:8" x14ac:dyDescent="0.3">
      <c r="A32" s="4">
        <v>31</v>
      </c>
      <c r="B32" s="5">
        <v>44227</v>
      </c>
      <c r="C32" s="6" t="s">
        <v>8</v>
      </c>
      <c r="D32" s="6" t="s">
        <v>9</v>
      </c>
      <c r="E32" s="6" t="s">
        <v>10</v>
      </c>
      <c r="F32" s="10">
        <v>7</v>
      </c>
      <c r="G32" s="10">
        <v>210</v>
      </c>
      <c r="H32" s="10">
        <f t="shared" si="0"/>
        <v>1470</v>
      </c>
    </row>
    <row r="33" spans="1:8" x14ac:dyDescent="0.3">
      <c r="A33" s="4">
        <v>32</v>
      </c>
      <c r="B33" s="5">
        <v>44228</v>
      </c>
      <c r="C33" s="6" t="s">
        <v>8</v>
      </c>
      <c r="D33" s="6" t="s">
        <v>12</v>
      </c>
      <c r="E33" s="6" t="s">
        <v>10</v>
      </c>
      <c r="F33" s="10">
        <v>7</v>
      </c>
      <c r="G33" s="10">
        <v>210</v>
      </c>
      <c r="H33" s="10">
        <f t="shared" si="0"/>
        <v>1470</v>
      </c>
    </row>
    <row r="34" spans="1:8" x14ac:dyDescent="0.3">
      <c r="A34" s="4">
        <v>33</v>
      </c>
      <c r="B34" s="5">
        <v>44229</v>
      </c>
      <c r="C34" s="6" t="s">
        <v>8</v>
      </c>
      <c r="D34" s="6" t="s">
        <v>22</v>
      </c>
      <c r="E34" s="6" t="s">
        <v>10</v>
      </c>
      <c r="F34" s="10">
        <v>7</v>
      </c>
      <c r="G34" s="10">
        <v>210</v>
      </c>
      <c r="H34" s="10">
        <f t="shared" si="0"/>
        <v>1470</v>
      </c>
    </row>
    <row r="35" spans="1:8" x14ac:dyDescent="0.3">
      <c r="A35" s="4">
        <v>34</v>
      </c>
      <c r="B35" s="5">
        <v>44230</v>
      </c>
      <c r="C35" s="6" t="s">
        <v>8</v>
      </c>
      <c r="D35" s="6" t="s">
        <v>23</v>
      </c>
      <c r="E35" s="6" t="s">
        <v>10</v>
      </c>
      <c r="F35" s="10">
        <v>7</v>
      </c>
      <c r="G35" s="10">
        <v>210</v>
      </c>
      <c r="H35" s="10">
        <f t="shared" si="0"/>
        <v>1470</v>
      </c>
    </row>
    <row r="36" spans="1:8" x14ac:dyDescent="0.3">
      <c r="A36" s="4">
        <v>35</v>
      </c>
      <c r="B36" s="5">
        <v>44231</v>
      </c>
      <c r="C36" s="6" t="s">
        <v>11</v>
      </c>
      <c r="D36" s="6" t="s">
        <v>12</v>
      </c>
      <c r="E36" s="6" t="s">
        <v>10</v>
      </c>
      <c r="F36" s="10">
        <v>7</v>
      </c>
      <c r="G36" s="10">
        <v>210</v>
      </c>
      <c r="H36" s="10">
        <f t="shared" si="0"/>
        <v>1470</v>
      </c>
    </row>
    <row r="37" spans="1:8" x14ac:dyDescent="0.3">
      <c r="A37" s="4">
        <v>36</v>
      </c>
      <c r="B37" s="5">
        <v>44232</v>
      </c>
      <c r="C37" s="6" t="s">
        <v>11</v>
      </c>
      <c r="D37" s="6" t="s">
        <v>9</v>
      </c>
      <c r="E37" s="6" t="s">
        <v>10</v>
      </c>
      <c r="F37" s="10">
        <v>7</v>
      </c>
      <c r="G37" s="10">
        <v>210</v>
      </c>
      <c r="H37" s="10">
        <f t="shared" si="0"/>
        <v>1470</v>
      </c>
    </row>
    <row r="38" spans="1:8" x14ac:dyDescent="0.3">
      <c r="A38" s="4">
        <v>37</v>
      </c>
      <c r="B38" s="5">
        <v>44233</v>
      </c>
      <c r="C38" s="6" t="s">
        <v>11</v>
      </c>
      <c r="D38" s="6" t="s">
        <v>22</v>
      </c>
      <c r="E38" s="6" t="s">
        <v>21</v>
      </c>
      <c r="F38" s="10">
        <v>2</v>
      </c>
      <c r="G38" s="10">
        <v>190</v>
      </c>
      <c r="H38" s="10">
        <f t="shared" si="0"/>
        <v>380</v>
      </c>
    </row>
    <row r="39" spans="1:8" x14ac:dyDescent="0.3">
      <c r="A39" s="4">
        <v>38</v>
      </c>
      <c r="B39" s="5">
        <v>44234</v>
      </c>
      <c r="C39" s="6" t="s">
        <v>11</v>
      </c>
      <c r="D39" s="6" t="s">
        <v>23</v>
      </c>
      <c r="E39" s="6" t="s">
        <v>10</v>
      </c>
      <c r="F39" s="10">
        <v>2</v>
      </c>
      <c r="G39" s="10">
        <v>210</v>
      </c>
      <c r="H39" s="10">
        <f t="shared" ref="H39:H102" si="1">F39*G39</f>
        <v>420</v>
      </c>
    </row>
    <row r="40" spans="1:8" x14ac:dyDescent="0.3">
      <c r="A40" s="4">
        <v>39</v>
      </c>
      <c r="B40" s="5">
        <v>44235</v>
      </c>
      <c r="C40" s="6" t="s">
        <v>11</v>
      </c>
      <c r="D40" s="6" t="s">
        <v>12</v>
      </c>
      <c r="E40" s="6" t="s">
        <v>13</v>
      </c>
      <c r="F40" s="10">
        <v>7</v>
      </c>
      <c r="G40" s="10">
        <v>2100</v>
      </c>
      <c r="H40" s="10">
        <f t="shared" si="1"/>
        <v>14700</v>
      </c>
    </row>
    <row r="41" spans="1:8" x14ac:dyDescent="0.3">
      <c r="A41" s="4">
        <v>40</v>
      </c>
      <c r="B41" s="5">
        <v>44236</v>
      </c>
      <c r="C41" s="6" t="s">
        <v>11</v>
      </c>
      <c r="D41" s="6" t="s">
        <v>9</v>
      </c>
      <c r="E41" s="6" t="s">
        <v>15</v>
      </c>
      <c r="F41" s="10">
        <v>6</v>
      </c>
      <c r="G41" s="10">
        <v>1200</v>
      </c>
      <c r="H41" s="10">
        <f t="shared" si="1"/>
        <v>7200</v>
      </c>
    </row>
    <row r="42" spans="1:8" x14ac:dyDescent="0.3">
      <c r="A42" s="4">
        <v>41</v>
      </c>
      <c r="B42" s="5">
        <v>44237</v>
      </c>
      <c r="C42" s="6" t="s">
        <v>11</v>
      </c>
      <c r="D42" s="6" t="s">
        <v>22</v>
      </c>
      <c r="E42" s="6" t="s">
        <v>13</v>
      </c>
      <c r="F42" s="10">
        <v>7</v>
      </c>
      <c r="G42" s="10">
        <v>2100</v>
      </c>
      <c r="H42" s="10">
        <f t="shared" si="1"/>
        <v>14700</v>
      </c>
    </row>
    <row r="43" spans="1:8" x14ac:dyDescent="0.3">
      <c r="A43" s="4">
        <v>42</v>
      </c>
      <c r="B43" s="5">
        <v>44238</v>
      </c>
      <c r="C43" s="6" t="s">
        <v>11</v>
      </c>
      <c r="D43" s="6" t="s">
        <v>23</v>
      </c>
      <c r="E43" s="6" t="s">
        <v>13</v>
      </c>
      <c r="F43" s="10">
        <v>7</v>
      </c>
      <c r="G43" s="10">
        <v>2100</v>
      </c>
      <c r="H43" s="10">
        <f t="shared" si="1"/>
        <v>14700</v>
      </c>
    </row>
    <row r="44" spans="1:8" x14ac:dyDescent="0.3">
      <c r="A44" s="4">
        <v>43</v>
      </c>
      <c r="B44" s="5">
        <v>44239</v>
      </c>
      <c r="C44" s="6" t="s">
        <v>14</v>
      </c>
      <c r="D44" s="6" t="s">
        <v>23</v>
      </c>
      <c r="E44" s="6" t="s">
        <v>13</v>
      </c>
      <c r="F44" s="10">
        <v>7</v>
      </c>
      <c r="G44" s="10">
        <v>2100</v>
      </c>
      <c r="H44" s="10">
        <f t="shared" si="1"/>
        <v>14700</v>
      </c>
    </row>
    <row r="45" spans="1:8" x14ac:dyDescent="0.3">
      <c r="A45" s="4">
        <v>44</v>
      </c>
      <c r="B45" s="5">
        <v>44240</v>
      </c>
      <c r="C45" s="6" t="s">
        <v>16</v>
      </c>
      <c r="D45" s="6" t="s">
        <v>23</v>
      </c>
      <c r="E45" s="6" t="s">
        <v>13</v>
      </c>
      <c r="F45" s="10">
        <v>7</v>
      </c>
      <c r="G45" s="10">
        <v>2100</v>
      </c>
      <c r="H45" s="10">
        <f t="shared" si="1"/>
        <v>14700</v>
      </c>
    </row>
    <row r="46" spans="1:8" x14ac:dyDescent="0.3">
      <c r="A46" s="4">
        <v>45</v>
      </c>
      <c r="B46" s="5">
        <v>44241</v>
      </c>
      <c r="C46" s="6" t="s">
        <v>18</v>
      </c>
      <c r="D46" s="6" t="s">
        <v>23</v>
      </c>
      <c r="E46" s="6" t="s">
        <v>13</v>
      </c>
      <c r="F46" s="10">
        <v>7</v>
      </c>
      <c r="G46" s="10">
        <v>2100</v>
      </c>
      <c r="H46" s="10">
        <f t="shared" si="1"/>
        <v>14700</v>
      </c>
    </row>
    <row r="47" spans="1:8" x14ac:dyDescent="0.3">
      <c r="A47" s="4">
        <v>46</v>
      </c>
      <c r="B47" s="5">
        <v>44242</v>
      </c>
      <c r="C47" s="6" t="s">
        <v>20</v>
      </c>
      <c r="D47" s="6" t="s">
        <v>23</v>
      </c>
      <c r="E47" s="6" t="s">
        <v>13</v>
      </c>
      <c r="F47" s="10">
        <v>7</v>
      </c>
      <c r="G47" s="10">
        <v>2100</v>
      </c>
      <c r="H47" s="10">
        <f t="shared" si="1"/>
        <v>14700</v>
      </c>
    </row>
    <row r="48" spans="1:8" x14ac:dyDescent="0.3">
      <c r="A48" s="4">
        <v>47</v>
      </c>
      <c r="B48" s="5">
        <v>44243</v>
      </c>
      <c r="C48" s="6" t="s">
        <v>20</v>
      </c>
      <c r="D48" s="6" t="s">
        <v>9</v>
      </c>
      <c r="E48" s="6" t="s">
        <v>13</v>
      </c>
      <c r="F48" s="10">
        <v>7</v>
      </c>
      <c r="G48" s="10">
        <v>2100</v>
      </c>
      <c r="H48" s="10">
        <f t="shared" si="1"/>
        <v>14700</v>
      </c>
    </row>
    <row r="49" spans="1:8" x14ac:dyDescent="0.3">
      <c r="A49" s="4">
        <v>48</v>
      </c>
      <c r="B49" s="5">
        <v>44244</v>
      </c>
      <c r="C49" s="6" t="s">
        <v>20</v>
      </c>
      <c r="D49" s="6" t="s">
        <v>12</v>
      </c>
      <c r="E49" s="6" t="s">
        <v>13</v>
      </c>
      <c r="F49" s="10">
        <v>7</v>
      </c>
      <c r="G49" s="10">
        <v>2100</v>
      </c>
      <c r="H49" s="10">
        <f t="shared" si="1"/>
        <v>14700</v>
      </c>
    </row>
    <row r="50" spans="1:8" x14ac:dyDescent="0.3">
      <c r="A50" s="4">
        <v>49</v>
      </c>
      <c r="B50" s="5">
        <v>44245</v>
      </c>
      <c r="C50" s="6" t="s">
        <v>20</v>
      </c>
      <c r="D50" s="6" t="s">
        <v>22</v>
      </c>
      <c r="E50" s="6" t="s">
        <v>13</v>
      </c>
      <c r="F50" s="10">
        <v>7</v>
      </c>
      <c r="G50" s="10">
        <v>2100</v>
      </c>
      <c r="H50" s="10">
        <f t="shared" si="1"/>
        <v>14700</v>
      </c>
    </row>
    <row r="51" spans="1:8" x14ac:dyDescent="0.3">
      <c r="A51" s="4">
        <v>50</v>
      </c>
      <c r="B51" s="5">
        <v>44246</v>
      </c>
      <c r="C51" s="6" t="s">
        <v>20</v>
      </c>
      <c r="D51" s="6" t="s">
        <v>23</v>
      </c>
      <c r="E51" s="6" t="s">
        <v>13</v>
      </c>
      <c r="F51" s="10">
        <v>7</v>
      </c>
      <c r="G51" s="10">
        <v>2100</v>
      </c>
      <c r="H51" s="10">
        <f t="shared" si="1"/>
        <v>14700</v>
      </c>
    </row>
    <row r="52" spans="1:8" x14ac:dyDescent="0.3">
      <c r="A52" s="4">
        <v>51</v>
      </c>
      <c r="B52" s="5">
        <v>44247</v>
      </c>
      <c r="C52" s="6" t="s">
        <v>20</v>
      </c>
      <c r="D52" s="6" t="s">
        <v>9</v>
      </c>
      <c r="E52" s="6" t="s">
        <v>10</v>
      </c>
      <c r="F52" s="10">
        <v>7</v>
      </c>
      <c r="G52" s="10">
        <v>210</v>
      </c>
      <c r="H52" s="10">
        <f t="shared" si="1"/>
        <v>1470</v>
      </c>
    </row>
    <row r="53" spans="1:8" x14ac:dyDescent="0.3">
      <c r="A53" s="4">
        <v>52</v>
      </c>
      <c r="B53" s="5">
        <v>44248</v>
      </c>
      <c r="C53" s="6" t="s">
        <v>20</v>
      </c>
      <c r="D53" s="6" t="s">
        <v>12</v>
      </c>
      <c r="E53" s="6" t="s">
        <v>13</v>
      </c>
      <c r="F53" s="10">
        <v>6</v>
      </c>
      <c r="G53" s="10">
        <v>2100</v>
      </c>
      <c r="H53" s="10">
        <f t="shared" si="1"/>
        <v>12600</v>
      </c>
    </row>
    <row r="54" spans="1:8" x14ac:dyDescent="0.3">
      <c r="A54" s="4">
        <v>53</v>
      </c>
      <c r="B54" s="5">
        <v>44249</v>
      </c>
      <c r="C54" s="6" t="s">
        <v>20</v>
      </c>
      <c r="D54" s="6" t="s">
        <v>22</v>
      </c>
      <c r="E54" s="6" t="s">
        <v>15</v>
      </c>
      <c r="F54" s="10">
        <v>5</v>
      </c>
      <c r="G54" s="10">
        <v>1200</v>
      </c>
      <c r="H54" s="10">
        <f t="shared" si="1"/>
        <v>6000</v>
      </c>
    </row>
    <row r="55" spans="1:8" x14ac:dyDescent="0.3">
      <c r="A55" s="4">
        <v>54</v>
      </c>
      <c r="B55" s="5">
        <v>44250</v>
      </c>
      <c r="C55" s="6" t="s">
        <v>20</v>
      </c>
      <c r="D55" s="6" t="s">
        <v>23</v>
      </c>
      <c r="E55" s="6" t="s">
        <v>17</v>
      </c>
      <c r="F55" s="10">
        <v>4</v>
      </c>
      <c r="G55" s="10">
        <v>1500</v>
      </c>
      <c r="H55" s="10">
        <f t="shared" si="1"/>
        <v>6000</v>
      </c>
    </row>
    <row r="56" spans="1:8" x14ac:dyDescent="0.3">
      <c r="A56" s="4">
        <v>55</v>
      </c>
      <c r="B56" s="5">
        <v>44251</v>
      </c>
      <c r="C56" s="6" t="s">
        <v>8</v>
      </c>
      <c r="D56" s="6" t="s">
        <v>9</v>
      </c>
      <c r="E56" s="6" t="s">
        <v>19</v>
      </c>
      <c r="F56" s="10">
        <v>3</v>
      </c>
      <c r="G56" s="10">
        <v>300</v>
      </c>
      <c r="H56" s="10">
        <f t="shared" si="1"/>
        <v>900</v>
      </c>
    </row>
    <row r="57" spans="1:8" x14ac:dyDescent="0.3">
      <c r="A57" s="4">
        <v>56</v>
      </c>
      <c r="B57" s="5">
        <v>44252</v>
      </c>
      <c r="C57" s="6" t="s">
        <v>11</v>
      </c>
      <c r="D57" s="6" t="s">
        <v>12</v>
      </c>
      <c r="E57" s="6" t="s">
        <v>21</v>
      </c>
      <c r="F57" s="10">
        <v>2</v>
      </c>
      <c r="G57" s="10">
        <v>190</v>
      </c>
      <c r="H57" s="10">
        <f t="shared" si="1"/>
        <v>380</v>
      </c>
    </row>
    <row r="58" spans="1:8" x14ac:dyDescent="0.3">
      <c r="A58" s="4">
        <v>57</v>
      </c>
      <c r="B58" s="5">
        <v>44253</v>
      </c>
      <c r="C58" s="6" t="s">
        <v>14</v>
      </c>
      <c r="D58" s="6" t="s">
        <v>9</v>
      </c>
      <c r="E58" s="6" t="s">
        <v>10</v>
      </c>
      <c r="F58" s="10">
        <v>7</v>
      </c>
      <c r="G58" s="10">
        <v>210</v>
      </c>
      <c r="H58" s="10">
        <f t="shared" si="1"/>
        <v>1470</v>
      </c>
    </row>
    <row r="59" spans="1:8" x14ac:dyDescent="0.3">
      <c r="A59" s="4">
        <v>58</v>
      </c>
      <c r="B59" s="5">
        <v>44254</v>
      </c>
      <c r="C59" s="6" t="s">
        <v>16</v>
      </c>
      <c r="D59" s="6" t="s">
        <v>12</v>
      </c>
      <c r="E59" s="6" t="s">
        <v>13</v>
      </c>
      <c r="F59" s="10">
        <v>6</v>
      </c>
      <c r="G59" s="10">
        <v>2100</v>
      </c>
      <c r="H59" s="10">
        <f t="shared" si="1"/>
        <v>12600</v>
      </c>
    </row>
    <row r="60" spans="1:8" x14ac:dyDescent="0.3">
      <c r="A60" s="4">
        <v>59</v>
      </c>
      <c r="B60" s="5">
        <v>44255</v>
      </c>
      <c r="C60" s="6" t="s">
        <v>18</v>
      </c>
      <c r="D60" s="6" t="s">
        <v>9</v>
      </c>
      <c r="E60" s="6" t="s">
        <v>15</v>
      </c>
      <c r="F60" s="10">
        <v>5</v>
      </c>
      <c r="G60" s="10">
        <v>1200</v>
      </c>
      <c r="H60" s="10">
        <f t="shared" si="1"/>
        <v>6000</v>
      </c>
    </row>
    <row r="61" spans="1:8" x14ac:dyDescent="0.3">
      <c r="A61" s="4">
        <v>60</v>
      </c>
      <c r="B61" s="5">
        <v>44256</v>
      </c>
      <c r="C61" s="6" t="s">
        <v>20</v>
      </c>
      <c r="D61" s="6" t="s">
        <v>9</v>
      </c>
      <c r="E61" s="6" t="s">
        <v>17</v>
      </c>
      <c r="F61" s="10">
        <v>4</v>
      </c>
      <c r="G61" s="10">
        <v>1500</v>
      </c>
      <c r="H61" s="10">
        <f t="shared" si="1"/>
        <v>6000</v>
      </c>
    </row>
    <row r="62" spans="1:8" x14ac:dyDescent="0.3">
      <c r="A62" s="4">
        <v>61</v>
      </c>
      <c r="B62" s="5">
        <v>44257</v>
      </c>
      <c r="C62" s="6" t="s">
        <v>8</v>
      </c>
      <c r="D62" s="6" t="s">
        <v>9</v>
      </c>
      <c r="E62" s="6" t="s">
        <v>19</v>
      </c>
      <c r="F62" s="10">
        <v>3</v>
      </c>
      <c r="G62" s="10">
        <v>300</v>
      </c>
      <c r="H62" s="10">
        <f t="shared" si="1"/>
        <v>900</v>
      </c>
    </row>
    <row r="63" spans="1:8" x14ac:dyDescent="0.3">
      <c r="A63" s="4">
        <v>62</v>
      </c>
      <c r="B63" s="5">
        <v>44258</v>
      </c>
      <c r="C63" s="6" t="s">
        <v>11</v>
      </c>
      <c r="D63" s="6" t="s">
        <v>12</v>
      </c>
      <c r="E63" s="6" t="s">
        <v>21</v>
      </c>
      <c r="F63" s="10">
        <v>2</v>
      </c>
      <c r="G63" s="10">
        <v>190</v>
      </c>
      <c r="H63" s="10">
        <f t="shared" si="1"/>
        <v>380</v>
      </c>
    </row>
    <row r="64" spans="1:8" x14ac:dyDescent="0.3">
      <c r="A64" s="4">
        <v>63</v>
      </c>
      <c r="B64" s="5">
        <v>44259</v>
      </c>
      <c r="C64" s="6" t="s">
        <v>14</v>
      </c>
      <c r="D64" s="6" t="s">
        <v>12</v>
      </c>
      <c r="E64" s="6" t="s">
        <v>10</v>
      </c>
      <c r="F64" s="10">
        <v>2</v>
      </c>
      <c r="G64" s="10">
        <v>210</v>
      </c>
      <c r="H64" s="10">
        <f t="shared" si="1"/>
        <v>420</v>
      </c>
    </row>
    <row r="65" spans="1:8" x14ac:dyDescent="0.3">
      <c r="A65" s="4">
        <v>64</v>
      </c>
      <c r="B65" s="5">
        <v>44260</v>
      </c>
      <c r="C65" s="6" t="s">
        <v>16</v>
      </c>
      <c r="D65" s="6" t="s">
        <v>9</v>
      </c>
      <c r="E65" s="6" t="s">
        <v>13</v>
      </c>
      <c r="F65" s="10">
        <v>7</v>
      </c>
      <c r="G65" s="10">
        <v>2100</v>
      </c>
      <c r="H65" s="10">
        <f t="shared" si="1"/>
        <v>14700</v>
      </c>
    </row>
    <row r="66" spans="1:8" x14ac:dyDescent="0.3">
      <c r="A66" s="4">
        <v>65</v>
      </c>
      <c r="B66" s="5">
        <v>44261</v>
      </c>
      <c r="C66" s="6" t="s">
        <v>18</v>
      </c>
      <c r="D66" s="6" t="s">
        <v>9</v>
      </c>
      <c r="E66" s="6" t="s">
        <v>15</v>
      </c>
      <c r="F66" s="10">
        <v>6</v>
      </c>
      <c r="G66" s="10">
        <v>1200</v>
      </c>
      <c r="H66" s="10">
        <f t="shared" si="1"/>
        <v>7200</v>
      </c>
    </row>
    <row r="67" spans="1:8" x14ac:dyDescent="0.3">
      <c r="A67" s="4">
        <v>66</v>
      </c>
      <c r="B67" s="5">
        <v>44262</v>
      </c>
      <c r="C67" s="6" t="s">
        <v>20</v>
      </c>
      <c r="D67" s="6" t="s">
        <v>12</v>
      </c>
      <c r="E67" s="6" t="s">
        <v>17</v>
      </c>
      <c r="F67" s="10">
        <v>5</v>
      </c>
      <c r="G67" s="10">
        <v>1500</v>
      </c>
      <c r="H67" s="10">
        <f t="shared" si="1"/>
        <v>7500</v>
      </c>
    </row>
    <row r="68" spans="1:8" x14ac:dyDescent="0.3">
      <c r="A68" s="4">
        <v>67</v>
      </c>
      <c r="B68" s="5">
        <v>44263</v>
      </c>
      <c r="C68" s="6" t="s">
        <v>20</v>
      </c>
      <c r="D68" s="6" t="s">
        <v>9</v>
      </c>
      <c r="E68" s="6" t="s">
        <v>19</v>
      </c>
      <c r="F68" s="10">
        <v>4</v>
      </c>
      <c r="G68" s="10">
        <v>300</v>
      </c>
      <c r="H68" s="10">
        <f t="shared" si="1"/>
        <v>1200</v>
      </c>
    </row>
    <row r="69" spans="1:8" x14ac:dyDescent="0.3">
      <c r="A69" s="4">
        <v>68</v>
      </c>
      <c r="B69" s="5">
        <v>44264</v>
      </c>
      <c r="C69" s="6" t="s">
        <v>8</v>
      </c>
      <c r="D69" s="6" t="s">
        <v>9</v>
      </c>
      <c r="E69" s="6" t="s">
        <v>21</v>
      </c>
      <c r="F69" s="10">
        <v>3</v>
      </c>
      <c r="G69" s="10">
        <v>190</v>
      </c>
      <c r="H69" s="10">
        <f t="shared" si="1"/>
        <v>570</v>
      </c>
    </row>
    <row r="70" spans="1:8" x14ac:dyDescent="0.3">
      <c r="A70" s="4">
        <v>69</v>
      </c>
      <c r="B70" s="5">
        <v>44265</v>
      </c>
      <c r="C70" s="6" t="s">
        <v>11</v>
      </c>
      <c r="D70" s="6" t="s">
        <v>9</v>
      </c>
      <c r="E70" s="6" t="s">
        <v>10</v>
      </c>
      <c r="F70" s="10">
        <v>2</v>
      </c>
      <c r="G70" s="10">
        <v>210</v>
      </c>
      <c r="H70" s="10">
        <f t="shared" si="1"/>
        <v>420</v>
      </c>
    </row>
    <row r="71" spans="1:8" x14ac:dyDescent="0.3">
      <c r="A71" s="4">
        <v>70</v>
      </c>
      <c r="B71" s="5">
        <v>44266</v>
      </c>
      <c r="C71" s="6" t="s">
        <v>14</v>
      </c>
      <c r="D71" s="6" t="s">
        <v>9</v>
      </c>
      <c r="E71" s="6" t="s">
        <v>21</v>
      </c>
      <c r="F71" s="10">
        <v>3</v>
      </c>
      <c r="G71" s="10">
        <v>190</v>
      </c>
      <c r="H71" s="10">
        <f t="shared" si="1"/>
        <v>570</v>
      </c>
    </row>
    <row r="72" spans="1:8" x14ac:dyDescent="0.3">
      <c r="A72" s="4">
        <v>71</v>
      </c>
      <c r="B72" s="5">
        <v>44267</v>
      </c>
      <c r="C72" s="6" t="s">
        <v>16</v>
      </c>
      <c r="D72" s="6" t="s">
        <v>9</v>
      </c>
      <c r="E72" s="6" t="s">
        <v>10</v>
      </c>
      <c r="F72" s="10">
        <v>2</v>
      </c>
      <c r="G72" s="10">
        <v>210</v>
      </c>
      <c r="H72" s="10">
        <f t="shared" si="1"/>
        <v>420</v>
      </c>
    </row>
    <row r="73" spans="1:8" x14ac:dyDescent="0.3">
      <c r="A73" s="4">
        <v>72</v>
      </c>
      <c r="B73" s="5">
        <v>44268</v>
      </c>
      <c r="C73" s="6" t="s">
        <v>18</v>
      </c>
      <c r="D73" s="6" t="s">
        <v>9</v>
      </c>
      <c r="E73" s="6" t="s">
        <v>21</v>
      </c>
      <c r="F73" s="10">
        <v>3</v>
      </c>
      <c r="G73" s="10">
        <v>190</v>
      </c>
      <c r="H73" s="10">
        <f t="shared" si="1"/>
        <v>570</v>
      </c>
    </row>
    <row r="74" spans="1:8" x14ac:dyDescent="0.3">
      <c r="A74" s="4">
        <v>73</v>
      </c>
      <c r="B74" s="5">
        <v>44269</v>
      </c>
      <c r="C74" s="6" t="s">
        <v>20</v>
      </c>
      <c r="D74" s="6" t="s">
        <v>9</v>
      </c>
      <c r="E74" s="6" t="s">
        <v>10</v>
      </c>
      <c r="F74" s="10">
        <v>2</v>
      </c>
      <c r="G74" s="10">
        <v>210</v>
      </c>
      <c r="H74" s="10">
        <f t="shared" si="1"/>
        <v>420</v>
      </c>
    </row>
    <row r="75" spans="1:8" x14ac:dyDescent="0.3">
      <c r="A75" s="4">
        <v>74</v>
      </c>
      <c r="B75" s="5">
        <v>44270</v>
      </c>
      <c r="C75" s="6" t="s">
        <v>8</v>
      </c>
      <c r="D75" s="6" t="s">
        <v>9</v>
      </c>
      <c r="E75" s="6" t="s">
        <v>21</v>
      </c>
      <c r="F75" s="10">
        <v>3</v>
      </c>
      <c r="G75" s="10">
        <v>190</v>
      </c>
      <c r="H75" s="10">
        <f t="shared" si="1"/>
        <v>570</v>
      </c>
    </row>
    <row r="76" spans="1:8" x14ac:dyDescent="0.3">
      <c r="A76" s="4">
        <v>75</v>
      </c>
      <c r="B76" s="5">
        <v>44271</v>
      </c>
      <c r="C76" s="6" t="s">
        <v>11</v>
      </c>
      <c r="D76" s="6" t="s">
        <v>12</v>
      </c>
      <c r="E76" s="6" t="s">
        <v>10</v>
      </c>
      <c r="F76" s="10">
        <v>2</v>
      </c>
      <c r="G76" s="10">
        <v>210</v>
      </c>
      <c r="H76" s="10">
        <f t="shared" si="1"/>
        <v>420</v>
      </c>
    </row>
    <row r="77" spans="1:8" x14ac:dyDescent="0.3">
      <c r="A77" s="4">
        <v>76</v>
      </c>
      <c r="B77" s="5">
        <v>44272</v>
      </c>
      <c r="C77" s="6" t="s">
        <v>14</v>
      </c>
      <c r="D77" s="6" t="s">
        <v>9</v>
      </c>
      <c r="E77" s="6" t="s">
        <v>21</v>
      </c>
      <c r="F77" s="10">
        <v>3</v>
      </c>
      <c r="G77" s="10">
        <v>190</v>
      </c>
      <c r="H77" s="10">
        <f t="shared" si="1"/>
        <v>570</v>
      </c>
    </row>
    <row r="78" spans="1:8" x14ac:dyDescent="0.3">
      <c r="A78" s="4">
        <v>77</v>
      </c>
      <c r="B78" s="5">
        <v>44273</v>
      </c>
      <c r="C78" s="6" t="s">
        <v>16</v>
      </c>
      <c r="D78" s="6" t="s">
        <v>12</v>
      </c>
      <c r="E78" s="6" t="s">
        <v>10</v>
      </c>
      <c r="F78" s="10">
        <v>2</v>
      </c>
      <c r="G78" s="10">
        <v>210</v>
      </c>
      <c r="H78" s="10">
        <f t="shared" si="1"/>
        <v>420</v>
      </c>
    </row>
    <row r="79" spans="1:8" x14ac:dyDescent="0.3">
      <c r="A79" s="4">
        <v>78</v>
      </c>
      <c r="B79" s="5">
        <v>44274</v>
      </c>
      <c r="C79" s="6" t="s">
        <v>18</v>
      </c>
      <c r="D79" s="6" t="s">
        <v>9</v>
      </c>
      <c r="E79" s="6" t="s">
        <v>15</v>
      </c>
      <c r="F79" s="10">
        <v>5</v>
      </c>
      <c r="G79" s="10">
        <v>1200</v>
      </c>
      <c r="H79" s="10">
        <f t="shared" si="1"/>
        <v>6000</v>
      </c>
    </row>
    <row r="80" spans="1:8" x14ac:dyDescent="0.3">
      <c r="A80" s="4">
        <v>79</v>
      </c>
      <c r="B80" s="5">
        <v>44275</v>
      </c>
      <c r="C80" s="6" t="s">
        <v>20</v>
      </c>
      <c r="D80" s="6" t="s">
        <v>9</v>
      </c>
      <c r="E80" s="6" t="s">
        <v>17</v>
      </c>
      <c r="F80" s="10">
        <v>4</v>
      </c>
      <c r="G80" s="10">
        <v>1500</v>
      </c>
      <c r="H80" s="10">
        <f t="shared" si="1"/>
        <v>6000</v>
      </c>
    </row>
    <row r="81" spans="1:8" x14ac:dyDescent="0.3">
      <c r="A81" s="4">
        <v>80</v>
      </c>
      <c r="B81" s="5">
        <v>44276</v>
      </c>
      <c r="C81" s="6" t="s">
        <v>20</v>
      </c>
      <c r="D81" s="6" t="s">
        <v>9</v>
      </c>
      <c r="E81" s="6" t="s">
        <v>19</v>
      </c>
      <c r="F81" s="10">
        <v>3</v>
      </c>
      <c r="G81" s="10">
        <v>300</v>
      </c>
      <c r="H81" s="10">
        <f t="shared" si="1"/>
        <v>900</v>
      </c>
    </row>
    <row r="82" spans="1:8" x14ac:dyDescent="0.3">
      <c r="A82" s="4">
        <v>81</v>
      </c>
      <c r="B82" s="5">
        <v>44277</v>
      </c>
      <c r="C82" s="6" t="s">
        <v>8</v>
      </c>
      <c r="D82" s="6" t="s">
        <v>9</v>
      </c>
      <c r="E82" s="6" t="s">
        <v>21</v>
      </c>
      <c r="F82" s="10">
        <v>2</v>
      </c>
      <c r="G82" s="10">
        <v>190</v>
      </c>
      <c r="H82" s="10">
        <f t="shared" si="1"/>
        <v>380</v>
      </c>
    </row>
    <row r="83" spans="1:8" x14ac:dyDescent="0.3">
      <c r="A83" s="4">
        <v>82</v>
      </c>
      <c r="B83" s="5">
        <v>44278</v>
      </c>
      <c r="C83" s="6" t="s">
        <v>8</v>
      </c>
      <c r="D83" s="6" t="s">
        <v>12</v>
      </c>
      <c r="E83" s="6" t="s">
        <v>10</v>
      </c>
      <c r="F83" s="10">
        <v>7</v>
      </c>
      <c r="G83" s="10">
        <v>210</v>
      </c>
      <c r="H83" s="10">
        <f t="shared" si="1"/>
        <v>1470</v>
      </c>
    </row>
    <row r="84" spans="1:8" x14ac:dyDescent="0.3">
      <c r="A84" s="4">
        <v>83</v>
      </c>
      <c r="B84" s="5">
        <v>44279</v>
      </c>
      <c r="C84" s="6" t="s">
        <v>8</v>
      </c>
      <c r="D84" s="6" t="s">
        <v>22</v>
      </c>
      <c r="E84" s="6" t="s">
        <v>13</v>
      </c>
      <c r="F84" s="10">
        <v>6</v>
      </c>
      <c r="G84" s="10">
        <v>2100</v>
      </c>
      <c r="H84" s="10">
        <f t="shared" si="1"/>
        <v>12600</v>
      </c>
    </row>
    <row r="85" spans="1:8" x14ac:dyDescent="0.3">
      <c r="A85" s="4">
        <v>84</v>
      </c>
      <c r="B85" s="5">
        <v>44280</v>
      </c>
      <c r="C85" s="6" t="s">
        <v>8</v>
      </c>
      <c r="D85" s="6" t="s">
        <v>23</v>
      </c>
      <c r="E85" s="6" t="s">
        <v>15</v>
      </c>
      <c r="F85" s="10">
        <v>5</v>
      </c>
      <c r="G85" s="10">
        <v>1200</v>
      </c>
      <c r="H85" s="10">
        <f t="shared" si="1"/>
        <v>6000</v>
      </c>
    </row>
    <row r="86" spans="1:8" x14ac:dyDescent="0.3">
      <c r="A86" s="4">
        <v>85</v>
      </c>
      <c r="B86" s="5">
        <v>44281</v>
      </c>
      <c r="C86" s="6" t="s">
        <v>8</v>
      </c>
      <c r="D86" s="6" t="s">
        <v>9</v>
      </c>
      <c r="E86" s="6" t="s">
        <v>17</v>
      </c>
      <c r="F86" s="10">
        <v>4</v>
      </c>
      <c r="G86" s="10">
        <v>1500</v>
      </c>
      <c r="H86" s="10">
        <f t="shared" si="1"/>
        <v>6000</v>
      </c>
    </row>
    <row r="87" spans="1:8" x14ac:dyDescent="0.3">
      <c r="A87" s="4">
        <v>86</v>
      </c>
      <c r="B87" s="5">
        <v>44282</v>
      </c>
      <c r="C87" s="6" t="s">
        <v>8</v>
      </c>
      <c r="D87" s="6" t="s">
        <v>12</v>
      </c>
      <c r="E87" s="6" t="s">
        <v>19</v>
      </c>
      <c r="F87" s="10">
        <v>3</v>
      </c>
      <c r="G87" s="10">
        <v>300</v>
      </c>
      <c r="H87" s="10">
        <f t="shared" si="1"/>
        <v>900</v>
      </c>
    </row>
    <row r="88" spans="1:8" x14ac:dyDescent="0.3">
      <c r="A88" s="4">
        <v>87</v>
      </c>
      <c r="B88" s="5">
        <v>44283</v>
      </c>
      <c r="C88" s="6" t="s">
        <v>8</v>
      </c>
      <c r="D88" s="6" t="s">
        <v>22</v>
      </c>
      <c r="E88" s="6" t="s">
        <v>21</v>
      </c>
      <c r="F88" s="10">
        <v>2</v>
      </c>
      <c r="G88" s="10">
        <v>190</v>
      </c>
      <c r="H88" s="10">
        <f t="shared" si="1"/>
        <v>380</v>
      </c>
    </row>
    <row r="89" spans="1:8" x14ac:dyDescent="0.3">
      <c r="A89" s="4">
        <v>88</v>
      </c>
      <c r="B89" s="5">
        <v>44284</v>
      </c>
      <c r="C89" s="6" t="s">
        <v>8</v>
      </c>
      <c r="D89" s="6" t="s">
        <v>23</v>
      </c>
      <c r="E89" s="6" t="s">
        <v>10</v>
      </c>
      <c r="F89" s="10">
        <v>2</v>
      </c>
      <c r="G89" s="10">
        <v>210</v>
      </c>
      <c r="H89" s="10">
        <f t="shared" si="1"/>
        <v>420</v>
      </c>
    </row>
    <row r="90" spans="1:8" x14ac:dyDescent="0.3">
      <c r="A90" s="4">
        <v>89</v>
      </c>
      <c r="B90" s="5">
        <v>44285</v>
      </c>
      <c r="C90" s="6" t="s">
        <v>11</v>
      </c>
      <c r="D90" s="6" t="s">
        <v>12</v>
      </c>
      <c r="E90" s="6" t="s">
        <v>19</v>
      </c>
      <c r="F90" s="10">
        <v>3</v>
      </c>
      <c r="G90" s="10">
        <v>300</v>
      </c>
      <c r="H90" s="10">
        <f t="shared" si="1"/>
        <v>900</v>
      </c>
    </row>
    <row r="91" spans="1:8" x14ac:dyDescent="0.3">
      <c r="A91" s="4">
        <v>90</v>
      </c>
      <c r="B91" s="5">
        <v>44286</v>
      </c>
      <c r="C91" s="6" t="s">
        <v>11</v>
      </c>
      <c r="D91" s="6" t="s">
        <v>9</v>
      </c>
      <c r="E91" s="6" t="s">
        <v>19</v>
      </c>
      <c r="F91" s="10">
        <v>3</v>
      </c>
      <c r="G91" s="10">
        <v>300</v>
      </c>
      <c r="H91" s="10">
        <f t="shared" si="1"/>
        <v>900</v>
      </c>
    </row>
    <row r="92" spans="1:8" x14ac:dyDescent="0.3">
      <c r="A92" s="4">
        <v>91</v>
      </c>
      <c r="B92" s="5">
        <v>44287</v>
      </c>
      <c r="C92" s="6" t="s">
        <v>11</v>
      </c>
      <c r="D92" s="6" t="s">
        <v>22</v>
      </c>
      <c r="E92" s="6" t="s">
        <v>19</v>
      </c>
      <c r="F92" s="10">
        <v>3</v>
      </c>
      <c r="G92" s="10">
        <v>300</v>
      </c>
      <c r="H92" s="10">
        <f t="shared" si="1"/>
        <v>900</v>
      </c>
    </row>
    <row r="93" spans="1:8" x14ac:dyDescent="0.3">
      <c r="A93" s="4">
        <v>92</v>
      </c>
      <c r="B93" s="5">
        <v>44288</v>
      </c>
      <c r="C93" s="6" t="s">
        <v>11</v>
      </c>
      <c r="D93" s="6" t="s">
        <v>23</v>
      </c>
      <c r="E93" s="6" t="s">
        <v>19</v>
      </c>
      <c r="F93" s="10">
        <v>3</v>
      </c>
      <c r="G93" s="10">
        <v>300</v>
      </c>
      <c r="H93" s="10">
        <f t="shared" si="1"/>
        <v>900</v>
      </c>
    </row>
    <row r="94" spans="1:8" x14ac:dyDescent="0.3">
      <c r="A94" s="4">
        <v>93</v>
      </c>
      <c r="B94" s="5">
        <v>44289</v>
      </c>
      <c r="C94" s="6" t="s">
        <v>11</v>
      </c>
      <c r="D94" s="6" t="s">
        <v>12</v>
      </c>
      <c r="E94" s="6" t="s">
        <v>19</v>
      </c>
      <c r="F94" s="10">
        <v>3</v>
      </c>
      <c r="G94" s="10">
        <v>300</v>
      </c>
      <c r="H94" s="10">
        <f t="shared" si="1"/>
        <v>900</v>
      </c>
    </row>
    <row r="95" spans="1:8" x14ac:dyDescent="0.3">
      <c r="A95" s="4">
        <v>94</v>
      </c>
      <c r="B95" s="5">
        <v>44290</v>
      </c>
      <c r="C95" s="6" t="s">
        <v>11</v>
      </c>
      <c r="D95" s="6" t="s">
        <v>9</v>
      </c>
      <c r="E95" s="6" t="s">
        <v>19</v>
      </c>
      <c r="F95" s="10">
        <v>3</v>
      </c>
      <c r="G95" s="10">
        <v>300</v>
      </c>
      <c r="H95" s="10">
        <f t="shared" si="1"/>
        <v>900</v>
      </c>
    </row>
    <row r="96" spans="1:8" x14ac:dyDescent="0.3">
      <c r="A96" s="4">
        <v>95</v>
      </c>
      <c r="B96" s="5">
        <v>44291</v>
      </c>
      <c r="C96" s="6" t="s">
        <v>11</v>
      </c>
      <c r="D96" s="6" t="s">
        <v>22</v>
      </c>
      <c r="E96" s="6" t="s">
        <v>19</v>
      </c>
      <c r="F96" s="10">
        <v>3</v>
      </c>
      <c r="G96" s="10">
        <v>300</v>
      </c>
      <c r="H96" s="10">
        <f t="shared" si="1"/>
        <v>900</v>
      </c>
    </row>
    <row r="97" spans="1:8" x14ac:dyDescent="0.3">
      <c r="A97" s="4">
        <v>96</v>
      </c>
      <c r="B97" s="5">
        <v>44292</v>
      </c>
      <c r="C97" s="6" t="s">
        <v>11</v>
      </c>
      <c r="D97" s="6" t="s">
        <v>23</v>
      </c>
      <c r="E97" s="6" t="s">
        <v>19</v>
      </c>
      <c r="F97" s="10">
        <v>3</v>
      </c>
      <c r="G97" s="10">
        <v>300</v>
      </c>
      <c r="H97" s="10">
        <f t="shared" si="1"/>
        <v>900</v>
      </c>
    </row>
    <row r="98" spans="1:8" x14ac:dyDescent="0.3">
      <c r="A98" s="4">
        <v>97</v>
      </c>
      <c r="B98" s="5">
        <v>44293</v>
      </c>
      <c r="C98" s="6" t="s">
        <v>14</v>
      </c>
      <c r="D98" s="6" t="s">
        <v>23</v>
      </c>
      <c r="E98" s="6" t="s">
        <v>19</v>
      </c>
      <c r="F98" s="10">
        <v>3</v>
      </c>
      <c r="G98" s="10">
        <v>300</v>
      </c>
      <c r="H98" s="10">
        <f t="shared" si="1"/>
        <v>900</v>
      </c>
    </row>
    <row r="99" spans="1:8" x14ac:dyDescent="0.3">
      <c r="A99" s="4">
        <v>98</v>
      </c>
      <c r="B99" s="5">
        <v>44294</v>
      </c>
      <c r="C99" s="6" t="s">
        <v>16</v>
      </c>
      <c r="D99" s="6" t="s">
        <v>23</v>
      </c>
      <c r="E99" s="6" t="s">
        <v>19</v>
      </c>
      <c r="F99" s="10">
        <v>3</v>
      </c>
      <c r="G99" s="10">
        <v>300</v>
      </c>
      <c r="H99" s="10">
        <f t="shared" si="1"/>
        <v>900</v>
      </c>
    </row>
    <row r="100" spans="1:8" x14ac:dyDescent="0.3">
      <c r="A100" s="4">
        <v>99</v>
      </c>
      <c r="B100" s="5">
        <v>44295</v>
      </c>
      <c r="C100" s="6" t="s">
        <v>18</v>
      </c>
      <c r="D100" s="6" t="s">
        <v>23</v>
      </c>
      <c r="E100" s="6" t="s">
        <v>10</v>
      </c>
      <c r="F100" s="10">
        <v>3</v>
      </c>
      <c r="G100" s="10">
        <v>190</v>
      </c>
      <c r="H100" s="10">
        <f t="shared" si="1"/>
        <v>570</v>
      </c>
    </row>
    <row r="101" spans="1:8" x14ac:dyDescent="0.3">
      <c r="A101" s="4">
        <v>100</v>
      </c>
      <c r="B101" s="5">
        <v>44296</v>
      </c>
      <c r="C101" s="6" t="s">
        <v>20</v>
      </c>
      <c r="D101" s="6" t="s">
        <v>23</v>
      </c>
      <c r="E101" s="6" t="s">
        <v>13</v>
      </c>
      <c r="F101" s="10">
        <v>2</v>
      </c>
      <c r="G101" s="10">
        <v>2100</v>
      </c>
      <c r="H101" s="10">
        <f t="shared" si="1"/>
        <v>4200</v>
      </c>
    </row>
    <row r="102" spans="1:8" x14ac:dyDescent="0.3">
      <c r="A102" s="4">
        <v>101</v>
      </c>
      <c r="B102" s="5">
        <v>44297</v>
      </c>
      <c r="C102" s="6" t="s">
        <v>20</v>
      </c>
      <c r="D102" s="6" t="s">
        <v>9</v>
      </c>
      <c r="E102" s="6" t="s">
        <v>10</v>
      </c>
      <c r="F102" s="10">
        <v>7</v>
      </c>
      <c r="G102" s="10">
        <v>210</v>
      </c>
      <c r="H102" s="10">
        <f t="shared" si="1"/>
        <v>1470</v>
      </c>
    </row>
    <row r="103" spans="1:8" x14ac:dyDescent="0.3">
      <c r="A103" s="4">
        <v>102</v>
      </c>
      <c r="B103" s="5">
        <v>44298</v>
      </c>
      <c r="C103" s="6" t="s">
        <v>20</v>
      </c>
      <c r="D103" s="6" t="s">
        <v>12</v>
      </c>
      <c r="E103" s="6" t="s">
        <v>13</v>
      </c>
      <c r="F103" s="10">
        <v>6</v>
      </c>
      <c r="G103" s="10">
        <v>2100</v>
      </c>
      <c r="H103" s="10">
        <f t="shared" ref="H103:H166" si="2">F103*G103</f>
        <v>12600</v>
      </c>
    </row>
    <row r="104" spans="1:8" x14ac:dyDescent="0.3">
      <c r="A104" s="4">
        <v>103</v>
      </c>
      <c r="B104" s="5">
        <v>44299</v>
      </c>
      <c r="C104" s="6" t="s">
        <v>20</v>
      </c>
      <c r="D104" s="6" t="s">
        <v>22</v>
      </c>
      <c r="E104" s="6" t="s">
        <v>15</v>
      </c>
      <c r="F104" s="10">
        <v>5</v>
      </c>
      <c r="G104" s="10">
        <v>1200</v>
      </c>
      <c r="H104" s="10">
        <f t="shared" si="2"/>
        <v>6000</v>
      </c>
    </row>
    <row r="105" spans="1:8" x14ac:dyDescent="0.3">
      <c r="A105" s="4">
        <v>104</v>
      </c>
      <c r="B105" s="5">
        <v>44300</v>
      </c>
      <c r="C105" s="6" t="s">
        <v>20</v>
      </c>
      <c r="D105" s="6" t="s">
        <v>23</v>
      </c>
      <c r="E105" s="6" t="s">
        <v>13</v>
      </c>
      <c r="F105" s="10">
        <v>6</v>
      </c>
      <c r="G105" s="10">
        <v>2100</v>
      </c>
      <c r="H105" s="10">
        <f t="shared" si="2"/>
        <v>12600</v>
      </c>
    </row>
    <row r="106" spans="1:8" x14ac:dyDescent="0.3">
      <c r="A106" s="4">
        <v>105</v>
      </c>
      <c r="B106" s="5">
        <v>44301</v>
      </c>
      <c r="C106" s="6" t="s">
        <v>20</v>
      </c>
      <c r="D106" s="6" t="s">
        <v>9</v>
      </c>
      <c r="E106" s="6" t="s">
        <v>15</v>
      </c>
      <c r="F106" s="10">
        <v>5</v>
      </c>
      <c r="G106" s="10">
        <v>1200</v>
      </c>
      <c r="H106" s="10">
        <f t="shared" si="2"/>
        <v>6000</v>
      </c>
    </row>
    <row r="107" spans="1:8" x14ac:dyDescent="0.3">
      <c r="A107" s="4">
        <v>106</v>
      </c>
      <c r="B107" s="5">
        <v>44302</v>
      </c>
      <c r="C107" s="6" t="s">
        <v>20</v>
      </c>
      <c r="D107" s="6" t="s">
        <v>12</v>
      </c>
      <c r="E107" s="6" t="s">
        <v>21</v>
      </c>
      <c r="F107" s="10">
        <v>2</v>
      </c>
      <c r="G107" s="10">
        <v>190</v>
      </c>
      <c r="H107" s="10">
        <f t="shared" si="2"/>
        <v>380</v>
      </c>
    </row>
    <row r="108" spans="1:8" x14ac:dyDescent="0.3">
      <c r="A108" s="4">
        <v>107</v>
      </c>
      <c r="B108" s="5">
        <v>44303</v>
      </c>
      <c r="C108" s="6" t="s">
        <v>20</v>
      </c>
      <c r="D108" s="6" t="s">
        <v>22</v>
      </c>
      <c r="E108" s="6" t="s">
        <v>13</v>
      </c>
      <c r="F108" s="10">
        <v>6</v>
      </c>
      <c r="G108" s="10">
        <v>2100</v>
      </c>
      <c r="H108" s="10">
        <f t="shared" si="2"/>
        <v>12600</v>
      </c>
    </row>
    <row r="109" spans="1:8" x14ac:dyDescent="0.3">
      <c r="A109" s="4">
        <v>108</v>
      </c>
      <c r="B109" s="5">
        <v>44304</v>
      </c>
      <c r="C109" s="6" t="s">
        <v>20</v>
      </c>
      <c r="D109" s="6" t="s">
        <v>23</v>
      </c>
      <c r="E109" s="6" t="s">
        <v>15</v>
      </c>
      <c r="F109" s="10">
        <v>5</v>
      </c>
      <c r="G109" s="10">
        <v>1200</v>
      </c>
      <c r="H109" s="10">
        <f t="shared" si="2"/>
        <v>6000</v>
      </c>
    </row>
    <row r="110" spans="1:8" x14ac:dyDescent="0.3">
      <c r="A110" s="4">
        <v>109</v>
      </c>
      <c r="B110" s="5">
        <v>44305</v>
      </c>
      <c r="C110" s="6" t="s">
        <v>8</v>
      </c>
      <c r="D110" s="6" t="s">
        <v>9</v>
      </c>
      <c r="E110" s="6" t="s">
        <v>13</v>
      </c>
      <c r="F110" s="10">
        <v>6</v>
      </c>
      <c r="G110" s="10">
        <v>2100</v>
      </c>
      <c r="H110" s="10">
        <f t="shared" si="2"/>
        <v>12600</v>
      </c>
    </row>
    <row r="111" spans="1:8" x14ac:dyDescent="0.3">
      <c r="A111" s="4">
        <v>110</v>
      </c>
      <c r="B111" s="5">
        <v>44306</v>
      </c>
      <c r="C111" s="6" t="s">
        <v>11</v>
      </c>
      <c r="D111" s="6" t="s">
        <v>12</v>
      </c>
      <c r="E111" s="6" t="s">
        <v>15</v>
      </c>
      <c r="F111" s="10">
        <v>5</v>
      </c>
      <c r="G111" s="10">
        <v>1200</v>
      </c>
      <c r="H111" s="10">
        <f t="shared" si="2"/>
        <v>6000</v>
      </c>
    </row>
    <row r="112" spans="1:8" x14ac:dyDescent="0.3">
      <c r="A112" s="4">
        <v>111</v>
      </c>
      <c r="B112" s="5">
        <v>44307</v>
      </c>
      <c r="C112" s="6" t="s">
        <v>14</v>
      </c>
      <c r="D112" s="6" t="s">
        <v>9</v>
      </c>
      <c r="E112" s="6" t="s">
        <v>13</v>
      </c>
      <c r="F112" s="10">
        <v>6</v>
      </c>
      <c r="G112" s="10">
        <v>2100</v>
      </c>
      <c r="H112" s="10">
        <f t="shared" si="2"/>
        <v>12600</v>
      </c>
    </row>
    <row r="113" spans="1:8" x14ac:dyDescent="0.3">
      <c r="A113" s="4">
        <v>112</v>
      </c>
      <c r="B113" s="5">
        <v>44308</v>
      </c>
      <c r="C113" s="6" t="s">
        <v>16</v>
      </c>
      <c r="D113" s="6" t="s">
        <v>12</v>
      </c>
      <c r="E113" s="6" t="s">
        <v>15</v>
      </c>
      <c r="F113" s="10">
        <v>5</v>
      </c>
      <c r="G113" s="10">
        <v>1200</v>
      </c>
      <c r="H113" s="10">
        <f t="shared" si="2"/>
        <v>6000</v>
      </c>
    </row>
    <row r="114" spans="1:8" x14ac:dyDescent="0.3">
      <c r="A114" s="4">
        <v>113</v>
      </c>
      <c r="B114" s="5">
        <v>44309</v>
      </c>
      <c r="C114" s="6" t="s">
        <v>18</v>
      </c>
      <c r="D114" s="6" t="s">
        <v>9</v>
      </c>
      <c r="E114" s="6" t="s">
        <v>10</v>
      </c>
      <c r="F114" s="10">
        <v>2</v>
      </c>
      <c r="G114" s="10">
        <v>210</v>
      </c>
      <c r="H114" s="10">
        <f t="shared" si="2"/>
        <v>420</v>
      </c>
    </row>
    <row r="115" spans="1:8" x14ac:dyDescent="0.3">
      <c r="A115" s="4">
        <v>114</v>
      </c>
      <c r="B115" s="5">
        <v>44310</v>
      </c>
      <c r="C115" s="6" t="s">
        <v>20</v>
      </c>
      <c r="D115" s="6" t="s">
        <v>9</v>
      </c>
      <c r="E115" s="6" t="s">
        <v>13</v>
      </c>
      <c r="F115" s="10">
        <v>7</v>
      </c>
      <c r="G115" s="10">
        <v>2100</v>
      </c>
      <c r="H115" s="10">
        <f t="shared" si="2"/>
        <v>14700</v>
      </c>
    </row>
    <row r="116" spans="1:8" x14ac:dyDescent="0.3">
      <c r="A116" s="4">
        <v>115</v>
      </c>
      <c r="B116" s="5">
        <v>44311</v>
      </c>
      <c r="C116" s="6" t="s">
        <v>8</v>
      </c>
      <c r="D116" s="6" t="s">
        <v>9</v>
      </c>
      <c r="E116" s="6" t="s">
        <v>15</v>
      </c>
      <c r="F116" s="10">
        <v>6</v>
      </c>
      <c r="G116" s="10">
        <v>1200</v>
      </c>
      <c r="H116" s="10">
        <f t="shared" si="2"/>
        <v>7200</v>
      </c>
    </row>
    <row r="117" spans="1:8" x14ac:dyDescent="0.3">
      <c r="A117" s="4">
        <v>116</v>
      </c>
      <c r="B117" s="5">
        <v>44312</v>
      </c>
      <c r="C117" s="6" t="s">
        <v>11</v>
      </c>
      <c r="D117" s="6" t="s">
        <v>12</v>
      </c>
      <c r="E117" s="6" t="s">
        <v>17</v>
      </c>
      <c r="F117" s="10">
        <v>5</v>
      </c>
      <c r="G117" s="10">
        <v>1500</v>
      </c>
      <c r="H117" s="10">
        <f t="shared" si="2"/>
        <v>7500</v>
      </c>
    </row>
    <row r="118" spans="1:8" x14ac:dyDescent="0.3">
      <c r="A118" s="4">
        <v>117</v>
      </c>
      <c r="B118" s="5">
        <v>44313</v>
      </c>
      <c r="C118" s="6" t="s">
        <v>14</v>
      </c>
      <c r="D118" s="6" t="s">
        <v>12</v>
      </c>
      <c r="E118" s="6" t="s">
        <v>19</v>
      </c>
      <c r="F118" s="10">
        <v>4</v>
      </c>
      <c r="G118" s="10">
        <v>300</v>
      </c>
      <c r="H118" s="10">
        <f t="shared" si="2"/>
        <v>1200</v>
      </c>
    </row>
    <row r="119" spans="1:8" x14ac:dyDescent="0.3">
      <c r="A119" s="4">
        <v>118</v>
      </c>
      <c r="B119" s="5">
        <v>44314</v>
      </c>
      <c r="C119" s="6" t="s">
        <v>16</v>
      </c>
      <c r="D119" s="6" t="s">
        <v>9</v>
      </c>
      <c r="E119" s="6" t="s">
        <v>21</v>
      </c>
      <c r="F119" s="10">
        <v>3</v>
      </c>
      <c r="G119" s="10">
        <v>190</v>
      </c>
      <c r="H119" s="10">
        <f t="shared" si="2"/>
        <v>570</v>
      </c>
    </row>
    <row r="120" spans="1:8" x14ac:dyDescent="0.3">
      <c r="A120" s="4">
        <v>119</v>
      </c>
      <c r="B120" s="5">
        <v>44315</v>
      </c>
      <c r="C120" s="6" t="s">
        <v>18</v>
      </c>
      <c r="D120" s="6" t="s">
        <v>9</v>
      </c>
      <c r="E120" s="6" t="s">
        <v>10</v>
      </c>
      <c r="F120" s="10">
        <v>2</v>
      </c>
      <c r="G120" s="10">
        <v>210</v>
      </c>
      <c r="H120" s="10">
        <f t="shared" si="2"/>
        <v>420</v>
      </c>
    </row>
    <row r="121" spans="1:8" x14ac:dyDescent="0.3">
      <c r="A121" s="4">
        <v>120</v>
      </c>
      <c r="B121" s="5">
        <v>44316</v>
      </c>
      <c r="C121" s="6" t="s">
        <v>20</v>
      </c>
      <c r="D121" s="6" t="s">
        <v>12</v>
      </c>
      <c r="E121" s="6" t="s">
        <v>15</v>
      </c>
      <c r="F121" s="10">
        <v>7</v>
      </c>
      <c r="G121" s="10">
        <v>2100</v>
      </c>
      <c r="H121" s="10">
        <f t="shared" si="2"/>
        <v>14700</v>
      </c>
    </row>
    <row r="122" spans="1:8" x14ac:dyDescent="0.3">
      <c r="A122" s="4">
        <v>121</v>
      </c>
      <c r="B122" s="5">
        <v>44317</v>
      </c>
      <c r="C122" s="6" t="s">
        <v>20</v>
      </c>
      <c r="D122" s="6" t="s">
        <v>9</v>
      </c>
      <c r="E122" s="6" t="s">
        <v>17</v>
      </c>
      <c r="F122" s="10">
        <v>6</v>
      </c>
      <c r="G122" s="10">
        <v>1200</v>
      </c>
      <c r="H122" s="10">
        <f t="shared" si="2"/>
        <v>7200</v>
      </c>
    </row>
    <row r="123" spans="1:8" x14ac:dyDescent="0.3">
      <c r="A123" s="4">
        <v>122</v>
      </c>
      <c r="B123" s="5">
        <v>44318</v>
      </c>
      <c r="C123" s="6" t="s">
        <v>8</v>
      </c>
      <c r="D123" s="6" t="s">
        <v>9</v>
      </c>
      <c r="E123" s="6" t="s">
        <v>19</v>
      </c>
      <c r="F123" s="10">
        <v>5</v>
      </c>
      <c r="G123" s="10">
        <v>300</v>
      </c>
      <c r="H123" s="10">
        <f t="shared" si="2"/>
        <v>1500</v>
      </c>
    </row>
    <row r="124" spans="1:8" x14ac:dyDescent="0.3">
      <c r="A124" s="4">
        <v>123</v>
      </c>
      <c r="B124" s="5">
        <v>44319</v>
      </c>
      <c r="C124" s="6" t="s">
        <v>11</v>
      </c>
      <c r="D124" s="6" t="s">
        <v>9</v>
      </c>
      <c r="E124" s="6" t="s">
        <v>21</v>
      </c>
      <c r="F124" s="10">
        <v>4</v>
      </c>
      <c r="G124" s="10">
        <v>200</v>
      </c>
      <c r="H124" s="10">
        <f t="shared" si="2"/>
        <v>800</v>
      </c>
    </row>
    <row r="125" spans="1:8" x14ac:dyDescent="0.3">
      <c r="A125" s="4">
        <v>124</v>
      </c>
      <c r="B125" s="5">
        <v>44320</v>
      </c>
      <c r="C125" s="6" t="s">
        <v>14</v>
      </c>
      <c r="D125" s="6" t="s">
        <v>9</v>
      </c>
      <c r="E125" s="6" t="s">
        <v>10</v>
      </c>
      <c r="F125" s="10">
        <v>3</v>
      </c>
      <c r="G125" s="10">
        <v>190</v>
      </c>
      <c r="H125" s="10">
        <f t="shared" si="2"/>
        <v>570</v>
      </c>
    </row>
    <row r="126" spans="1:8" x14ac:dyDescent="0.3">
      <c r="A126" s="4">
        <v>125</v>
      </c>
      <c r="B126" s="5">
        <v>44321</v>
      </c>
      <c r="C126" s="6" t="s">
        <v>16</v>
      </c>
      <c r="D126" s="6" t="s">
        <v>9</v>
      </c>
      <c r="E126" s="6" t="s">
        <v>13</v>
      </c>
      <c r="F126" s="10">
        <v>2</v>
      </c>
      <c r="G126" s="10">
        <v>2100</v>
      </c>
      <c r="H126" s="10">
        <f t="shared" si="2"/>
        <v>4200</v>
      </c>
    </row>
    <row r="127" spans="1:8" x14ac:dyDescent="0.3">
      <c r="A127" s="4">
        <v>126</v>
      </c>
      <c r="B127" s="5">
        <v>44322</v>
      </c>
      <c r="C127" s="6" t="s">
        <v>18</v>
      </c>
      <c r="D127" s="6" t="s">
        <v>9</v>
      </c>
      <c r="E127" s="6" t="s">
        <v>10</v>
      </c>
      <c r="F127" s="10">
        <v>7</v>
      </c>
      <c r="G127" s="10">
        <v>210</v>
      </c>
      <c r="H127" s="10">
        <f t="shared" si="2"/>
        <v>1470</v>
      </c>
    </row>
    <row r="128" spans="1:8" x14ac:dyDescent="0.3">
      <c r="A128" s="4">
        <v>127</v>
      </c>
      <c r="B128" s="5">
        <v>44323</v>
      </c>
      <c r="C128" s="6" t="s">
        <v>20</v>
      </c>
      <c r="D128" s="6" t="s">
        <v>9</v>
      </c>
      <c r="E128" s="6" t="s">
        <v>13</v>
      </c>
      <c r="F128" s="10">
        <v>6</v>
      </c>
      <c r="G128" s="10">
        <v>2100</v>
      </c>
      <c r="H128" s="10">
        <f t="shared" si="2"/>
        <v>12600</v>
      </c>
    </row>
    <row r="129" spans="1:8" x14ac:dyDescent="0.3">
      <c r="A129" s="4">
        <v>128</v>
      </c>
      <c r="B129" s="5">
        <v>44324</v>
      </c>
      <c r="C129" s="6" t="s">
        <v>8</v>
      </c>
      <c r="D129" s="6" t="s">
        <v>9</v>
      </c>
      <c r="E129" s="6" t="s">
        <v>15</v>
      </c>
      <c r="F129" s="10">
        <v>5</v>
      </c>
      <c r="G129" s="10">
        <v>1200</v>
      </c>
      <c r="H129" s="10">
        <f t="shared" si="2"/>
        <v>6000</v>
      </c>
    </row>
    <row r="130" spans="1:8" x14ac:dyDescent="0.3">
      <c r="A130" s="4">
        <v>129</v>
      </c>
      <c r="B130" s="5">
        <v>44325</v>
      </c>
      <c r="C130" s="6" t="s">
        <v>11</v>
      </c>
      <c r="D130" s="6" t="s">
        <v>12</v>
      </c>
      <c r="E130" s="6" t="s">
        <v>17</v>
      </c>
      <c r="F130" s="10">
        <v>4</v>
      </c>
      <c r="G130" s="10">
        <v>1500</v>
      </c>
      <c r="H130" s="10">
        <f t="shared" si="2"/>
        <v>6000</v>
      </c>
    </row>
    <row r="131" spans="1:8" x14ac:dyDescent="0.3">
      <c r="A131" s="4">
        <v>130</v>
      </c>
      <c r="B131" s="5">
        <v>44326</v>
      </c>
      <c r="C131" s="6" t="s">
        <v>14</v>
      </c>
      <c r="D131" s="6" t="s">
        <v>9</v>
      </c>
      <c r="E131" s="6" t="s">
        <v>19</v>
      </c>
      <c r="F131" s="10">
        <v>3</v>
      </c>
      <c r="G131" s="10">
        <v>300</v>
      </c>
      <c r="H131" s="10">
        <f t="shared" si="2"/>
        <v>900</v>
      </c>
    </row>
    <row r="132" spans="1:8" x14ac:dyDescent="0.3">
      <c r="A132" s="4">
        <v>131</v>
      </c>
      <c r="B132" s="5">
        <v>44327</v>
      </c>
      <c r="C132" s="6" t="s">
        <v>16</v>
      </c>
      <c r="D132" s="6" t="s">
        <v>12</v>
      </c>
      <c r="E132" s="6" t="s">
        <v>21</v>
      </c>
      <c r="F132" s="10">
        <v>2</v>
      </c>
      <c r="G132" s="10">
        <v>190</v>
      </c>
      <c r="H132" s="10">
        <f t="shared" si="2"/>
        <v>380</v>
      </c>
    </row>
    <row r="133" spans="1:8" x14ac:dyDescent="0.3">
      <c r="A133" s="4">
        <v>132</v>
      </c>
      <c r="B133" s="5">
        <v>44328</v>
      </c>
      <c r="C133" s="6" t="s">
        <v>18</v>
      </c>
      <c r="D133" s="6" t="s">
        <v>9</v>
      </c>
      <c r="E133" s="6" t="s">
        <v>10</v>
      </c>
      <c r="F133" s="10">
        <v>7</v>
      </c>
      <c r="G133" s="10">
        <v>210</v>
      </c>
      <c r="H133" s="10">
        <f t="shared" si="2"/>
        <v>1470</v>
      </c>
    </row>
    <row r="134" spans="1:8" x14ac:dyDescent="0.3">
      <c r="A134" s="4">
        <v>133</v>
      </c>
      <c r="B134" s="5">
        <v>44329</v>
      </c>
      <c r="C134" s="6" t="s">
        <v>20</v>
      </c>
      <c r="D134" s="6" t="s">
        <v>9</v>
      </c>
      <c r="E134" s="6" t="s">
        <v>13</v>
      </c>
      <c r="F134" s="10">
        <v>6</v>
      </c>
      <c r="G134" s="10">
        <v>2100</v>
      </c>
      <c r="H134" s="10">
        <f t="shared" si="2"/>
        <v>12600</v>
      </c>
    </row>
    <row r="135" spans="1:8" x14ac:dyDescent="0.3">
      <c r="A135" s="4">
        <v>134</v>
      </c>
      <c r="B135" s="5">
        <v>44330</v>
      </c>
      <c r="C135" s="6" t="s">
        <v>20</v>
      </c>
      <c r="D135" s="6" t="s">
        <v>9</v>
      </c>
      <c r="E135" s="6" t="s">
        <v>15</v>
      </c>
      <c r="F135" s="10">
        <v>5</v>
      </c>
      <c r="G135" s="10">
        <v>1200</v>
      </c>
      <c r="H135" s="10">
        <f t="shared" si="2"/>
        <v>6000</v>
      </c>
    </row>
    <row r="136" spans="1:8" x14ac:dyDescent="0.3">
      <c r="A136" s="4">
        <v>135</v>
      </c>
      <c r="B136" s="5">
        <v>44331</v>
      </c>
      <c r="C136" s="6" t="s">
        <v>8</v>
      </c>
      <c r="D136" s="6" t="s">
        <v>9</v>
      </c>
      <c r="E136" s="6" t="s">
        <v>17</v>
      </c>
      <c r="F136" s="10">
        <v>4</v>
      </c>
      <c r="G136" s="10">
        <v>1500</v>
      </c>
      <c r="H136" s="10">
        <f t="shared" si="2"/>
        <v>6000</v>
      </c>
    </row>
    <row r="137" spans="1:8" x14ac:dyDescent="0.3">
      <c r="A137" s="4">
        <v>136</v>
      </c>
      <c r="B137" s="5">
        <v>44332</v>
      </c>
      <c r="C137" s="6" t="s">
        <v>8</v>
      </c>
      <c r="D137" s="6" t="s">
        <v>12</v>
      </c>
      <c r="E137" s="6" t="s">
        <v>19</v>
      </c>
      <c r="F137" s="10">
        <v>3</v>
      </c>
      <c r="G137" s="10">
        <v>300</v>
      </c>
      <c r="H137" s="10">
        <f t="shared" si="2"/>
        <v>900</v>
      </c>
    </row>
    <row r="138" spans="1:8" x14ac:dyDescent="0.3">
      <c r="A138" s="4">
        <v>137</v>
      </c>
      <c r="B138" s="5">
        <v>44333</v>
      </c>
      <c r="C138" s="6" t="s">
        <v>8</v>
      </c>
      <c r="D138" s="6" t="s">
        <v>22</v>
      </c>
      <c r="E138" s="6" t="s">
        <v>21</v>
      </c>
      <c r="F138" s="10">
        <v>2</v>
      </c>
      <c r="G138" s="10">
        <v>190</v>
      </c>
      <c r="H138" s="10">
        <f t="shared" si="2"/>
        <v>380</v>
      </c>
    </row>
    <row r="139" spans="1:8" x14ac:dyDescent="0.3">
      <c r="A139" s="4">
        <v>138</v>
      </c>
      <c r="B139" s="5">
        <v>44334</v>
      </c>
      <c r="C139" s="6" t="s">
        <v>8</v>
      </c>
      <c r="D139" s="6" t="s">
        <v>23</v>
      </c>
      <c r="E139" s="6" t="s">
        <v>10</v>
      </c>
      <c r="F139" s="10">
        <v>2</v>
      </c>
      <c r="G139" s="10">
        <v>210</v>
      </c>
      <c r="H139" s="10">
        <f t="shared" si="2"/>
        <v>420</v>
      </c>
    </row>
    <row r="140" spans="1:8" x14ac:dyDescent="0.3">
      <c r="A140" s="4">
        <v>139</v>
      </c>
      <c r="B140" s="5">
        <v>44335</v>
      </c>
      <c r="C140" s="6" t="s">
        <v>8</v>
      </c>
      <c r="D140" s="6" t="s">
        <v>9</v>
      </c>
      <c r="E140" s="6" t="s">
        <v>13</v>
      </c>
      <c r="F140" s="10">
        <v>7</v>
      </c>
      <c r="G140" s="10">
        <v>2100</v>
      </c>
      <c r="H140" s="10">
        <f t="shared" si="2"/>
        <v>14700</v>
      </c>
    </row>
    <row r="141" spans="1:8" x14ac:dyDescent="0.3">
      <c r="A141" s="4">
        <v>140</v>
      </c>
      <c r="B141" s="5">
        <v>44336</v>
      </c>
      <c r="C141" s="6" t="s">
        <v>8</v>
      </c>
      <c r="D141" s="6" t="s">
        <v>12</v>
      </c>
      <c r="E141" s="6" t="s">
        <v>15</v>
      </c>
      <c r="F141" s="10">
        <v>6</v>
      </c>
      <c r="G141" s="10">
        <v>1200</v>
      </c>
      <c r="H141" s="10">
        <f t="shared" si="2"/>
        <v>7200</v>
      </c>
    </row>
    <row r="142" spans="1:8" x14ac:dyDescent="0.3">
      <c r="A142" s="4">
        <v>141</v>
      </c>
      <c r="B142" s="5">
        <v>44337</v>
      </c>
      <c r="C142" s="6" t="s">
        <v>8</v>
      </c>
      <c r="D142" s="6" t="s">
        <v>22</v>
      </c>
      <c r="E142" s="6" t="s">
        <v>17</v>
      </c>
      <c r="F142" s="10">
        <v>5</v>
      </c>
      <c r="G142" s="10">
        <v>1500</v>
      </c>
      <c r="H142" s="10">
        <f t="shared" si="2"/>
        <v>7500</v>
      </c>
    </row>
    <row r="143" spans="1:8" x14ac:dyDescent="0.3">
      <c r="A143" s="4">
        <v>142</v>
      </c>
      <c r="B143" s="5">
        <v>44338</v>
      </c>
      <c r="C143" s="6" t="s">
        <v>8</v>
      </c>
      <c r="D143" s="6" t="s">
        <v>23</v>
      </c>
      <c r="E143" s="6" t="s">
        <v>19</v>
      </c>
      <c r="F143" s="10">
        <v>4</v>
      </c>
      <c r="G143" s="10">
        <v>300</v>
      </c>
      <c r="H143" s="10">
        <f t="shared" si="2"/>
        <v>1200</v>
      </c>
    </row>
    <row r="144" spans="1:8" x14ac:dyDescent="0.3">
      <c r="A144" s="4">
        <v>143</v>
      </c>
      <c r="B144" s="5">
        <v>44339</v>
      </c>
      <c r="C144" s="6" t="s">
        <v>11</v>
      </c>
      <c r="D144" s="6" t="s">
        <v>12</v>
      </c>
      <c r="E144" s="6" t="s">
        <v>21</v>
      </c>
      <c r="F144" s="10">
        <v>3</v>
      </c>
      <c r="G144" s="10">
        <v>190</v>
      </c>
      <c r="H144" s="10">
        <f t="shared" si="2"/>
        <v>570</v>
      </c>
    </row>
    <row r="145" spans="1:8" x14ac:dyDescent="0.3">
      <c r="A145" s="4">
        <v>144</v>
      </c>
      <c r="B145" s="5">
        <v>44340</v>
      </c>
      <c r="C145" s="6" t="s">
        <v>11</v>
      </c>
      <c r="D145" s="6" t="s">
        <v>9</v>
      </c>
      <c r="E145" s="6" t="s">
        <v>19</v>
      </c>
      <c r="F145" s="10">
        <v>4</v>
      </c>
      <c r="G145" s="10">
        <v>300</v>
      </c>
      <c r="H145" s="10">
        <f t="shared" si="2"/>
        <v>1200</v>
      </c>
    </row>
    <row r="146" spans="1:8" x14ac:dyDescent="0.3">
      <c r="A146" s="4">
        <v>145</v>
      </c>
      <c r="B146" s="5">
        <v>44341</v>
      </c>
      <c r="C146" s="6" t="s">
        <v>11</v>
      </c>
      <c r="D146" s="6" t="s">
        <v>22</v>
      </c>
      <c r="E146" s="6" t="s">
        <v>19</v>
      </c>
      <c r="F146" s="10">
        <v>4</v>
      </c>
      <c r="G146" s="10">
        <v>300</v>
      </c>
      <c r="H146" s="10">
        <f t="shared" si="2"/>
        <v>1200</v>
      </c>
    </row>
    <row r="147" spans="1:8" x14ac:dyDescent="0.3">
      <c r="A147" s="4">
        <v>146</v>
      </c>
      <c r="B147" s="5">
        <v>44342</v>
      </c>
      <c r="C147" s="6" t="s">
        <v>11</v>
      </c>
      <c r="D147" s="6" t="s">
        <v>23</v>
      </c>
      <c r="E147" s="6" t="s">
        <v>19</v>
      </c>
      <c r="F147" s="10">
        <v>4</v>
      </c>
      <c r="G147" s="10">
        <v>300</v>
      </c>
      <c r="H147" s="10">
        <f t="shared" si="2"/>
        <v>1200</v>
      </c>
    </row>
    <row r="148" spans="1:8" x14ac:dyDescent="0.3">
      <c r="A148" s="4">
        <v>147</v>
      </c>
      <c r="B148" s="5">
        <v>44343</v>
      </c>
      <c r="C148" s="6" t="s">
        <v>11</v>
      </c>
      <c r="D148" s="6" t="s">
        <v>12</v>
      </c>
      <c r="E148" s="6" t="s">
        <v>19</v>
      </c>
      <c r="F148" s="10">
        <v>4</v>
      </c>
      <c r="G148" s="10">
        <v>300</v>
      </c>
      <c r="H148" s="10">
        <f t="shared" si="2"/>
        <v>1200</v>
      </c>
    </row>
    <row r="149" spans="1:8" x14ac:dyDescent="0.3">
      <c r="A149" s="4">
        <v>148</v>
      </c>
      <c r="B149" s="5">
        <v>44344</v>
      </c>
      <c r="C149" s="6" t="s">
        <v>11</v>
      </c>
      <c r="D149" s="6" t="s">
        <v>9</v>
      </c>
      <c r="E149" s="6" t="s">
        <v>19</v>
      </c>
      <c r="F149" s="10">
        <v>4</v>
      </c>
      <c r="G149" s="10">
        <v>300</v>
      </c>
      <c r="H149" s="10">
        <f t="shared" si="2"/>
        <v>1200</v>
      </c>
    </row>
    <row r="150" spans="1:8" x14ac:dyDescent="0.3">
      <c r="A150" s="4">
        <v>149</v>
      </c>
      <c r="B150" s="5">
        <v>44345</v>
      </c>
      <c r="C150" s="6" t="s">
        <v>11</v>
      </c>
      <c r="D150" s="6" t="s">
        <v>22</v>
      </c>
      <c r="E150" s="6" t="s">
        <v>19</v>
      </c>
      <c r="F150" s="10">
        <v>4</v>
      </c>
      <c r="G150" s="10">
        <v>300</v>
      </c>
      <c r="H150" s="10">
        <f t="shared" si="2"/>
        <v>1200</v>
      </c>
    </row>
    <row r="151" spans="1:8" x14ac:dyDescent="0.3">
      <c r="A151" s="4">
        <v>150</v>
      </c>
      <c r="B151" s="5">
        <v>44346</v>
      </c>
      <c r="C151" s="6" t="s">
        <v>11</v>
      </c>
      <c r="D151" s="6" t="s">
        <v>23</v>
      </c>
      <c r="E151" s="6" t="s">
        <v>19</v>
      </c>
      <c r="F151" s="10">
        <v>4</v>
      </c>
      <c r="G151" s="10">
        <v>300</v>
      </c>
      <c r="H151" s="10">
        <f t="shared" si="2"/>
        <v>1200</v>
      </c>
    </row>
    <row r="152" spans="1:8" x14ac:dyDescent="0.3">
      <c r="A152" s="4">
        <v>151</v>
      </c>
      <c r="B152" s="5">
        <v>44347</v>
      </c>
      <c r="C152" s="6" t="s">
        <v>14</v>
      </c>
      <c r="D152" s="6" t="s">
        <v>23</v>
      </c>
      <c r="E152" s="6" t="s">
        <v>19</v>
      </c>
      <c r="F152" s="10">
        <v>4</v>
      </c>
      <c r="G152" s="10">
        <v>300</v>
      </c>
      <c r="H152" s="10">
        <f t="shared" si="2"/>
        <v>1200</v>
      </c>
    </row>
    <row r="153" spans="1:8" x14ac:dyDescent="0.3">
      <c r="A153" s="4">
        <v>152</v>
      </c>
      <c r="B153" s="5">
        <v>44348</v>
      </c>
      <c r="C153" s="6" t="s">
        <v>16</v>
      </c>
      <c r="D153" s="6" t="s">
        <v>23</v>
      </c>
      <c r="E153" s="6" t="s">
        <v>13</v>
      </c>
      <c r="F153" s="10">
        <v>6</v>
      </c>
      <c r="G153" s="10">
        <v>2100</v>
      </c>
      <c r="H153" s="10">
        <f t="shared" si="2"/>
        <v>12600</v>
      </c>
    </row>
    <row r="154" spans="1:8" x14ac:dyDescent="0.3">
      <c r="A154" s="4">
        <v>153</v>
      </c>
      <c r="B154" s="5">
        <v>44349</v>
      </c>
      <c r="C154" s="6" t="s">
        <v>18</v>
      </c>
      <c r="D154" s="6" t="s">
        <v>23</v>
      </c>
      <c r="E154" s="6" t="s">
        <v>15</v>
      </c>
      <c r="F154" s="10">
        <v>5</v>
      </c>
      <c r="G154" s="10">
        <v>1200</v>
      </c>
      <c r="H154" s="10">
        <f t="shared" si="2"/>
        <v>6000</v>
      </c>
    </row>
    <row r="155" spans="1:8" x14ac:dyDescent="0.3">
      <c r="A155" s="4">
        <v>154</v>
      </c>
      <c r="B155" s="5">
        <v>44350</v>
      </c>
      <c r="C155" s="6" t="s">
        <v>20</v>
      </c>
      <c r="D155" s="6" t="s">
        <v>23</v>
      </c>
      <c r="E155" s="6" t="s">
        <v>17</v>
      </c>
      <c r="F155" s="10">
        <v>4</v>
      </c>
      <c r="G155" s="10">
        <v>1500</v>
      </c>
      <c r="H155" s="10">
        <f t="shared" si="2"/>
        <v>6000</v>
      </c>
    </row>
    <row r="156" spans="1:8" x14ac:dyDescent="0.3">
      <c r="A156" s="4">
        <v>155</v>
      </c>
      <c r="B156" s="5">
        <v>44351</v>
      </c>
      <c r="C156" s="6" t="s">
        <v>20</v>
      </c>
      <c r="D156" s="6" t="s">
        <v>9</v>
      </c>
      <c r="E156" s="6" t="s">
        <v>19</v>
      </c>
      <c r="F156" s="10">
        <v>3</v>
      </c>
      <c r="G156" s="10">
        <v>300</v>
      </c>
      <c r="H156" s="10">
        <f t="shared" si="2"/>
        <v>900</v>
      </c>
    </row>
    <row r="157" spans="1:8" x14ac:dyDescent="0.3">
      <c r="A157" s="4">
        <v>156</v>
      </c>
      <c r="B157" s="5">
        <v>44352</v>
      </c>
      <c r="C157" s="6" t="s">
        <v>20</v>
      </c>
      <c r="D157" s="6" t="s">
        <v>12</v>
      </c>
      <c r="E157" s="6" t="s">
        <v>21</v>
      </c>
      <c r="F157" s="10">
        <v>2</v>
      </c>
      <c r="G157" s="10">
        <v>190</v>
      </c>
      <c r="H157" s="10">
        <f t="shared" si="2"/>
        <v>380</v>
      </c>
    </row>
    <row r="158" spans="1:8" x14ac:dyDescent="0.3">
      <c r="A158" s="4">
        <v>157</v>
      </c>
      <c r="B158" s="5">
        <v>44353</v>
      </c>
      <c r="C158" s="6" t="s">
        <v>20</v>
      </c>
      <c r="D158" s="6" t="s">
        <v>22</v>
      </c>
      <c r="E158" s="6" t="s">
        <v>10</v>
      </c>
      <c r="F158" s="10">
        <v>7</v>
      </c>
      <c r="G158" s="10">
        <v>210</v>
      </c>
      <c r="H158" s="10">
        <f t="shared" si="2"/>
        <v>1470</v>
      </c>
    </row>
    <row r="159" spans="1:8" x14ac:dyDescent="0.3">
      <c r="A159" s="4">
        <v>158</v>
      </c>
      <c r="B159" s="5">
        <v>44354</v>
      </c>
      <c r="C159" s="6" t="s">
        <v>20</v>
      </c>
      <c r="D159" s="6" t="s">
        <v>23</v>
      </c>
      <c r="E159" s="6" t="s">
        <v>13</v>
      </c>
      <c r="F159" s="10">
        <v>6</v>
      </c>
      <c r="G159" s="10">
        <v>2100</v>
      </c>
      <c r="H159" s="10">
        <f t="shared" si="2"/>
        <v>12600</v>
      </c>
    </row>
    <row r="160" spans="1:8" x14ac:dyDescent="0.3">
      <c r="A160" s="4">
        <v>159</v>
      </c>
      <c r="B160" s="5">
        <v>44355</v>
      </c>
      <c r="C160" s="6" t="s">
        <v>20</v>
      </c>
      <c r="D160" s="6" t="s">
        <v>9</v>
      </c>
      <c r="E160" s="6" t="s">
        <v>15</v>
      </c>
      <c r="F160" s="10">
        <v>5</v>
      </c>
      <c r="G160" s="10">
        <v>1200</v>
      </c>
      <c r="H160" s="10">
        <f t="shared" si="2"/>
        <v>6000</v>
      </c>
    </row>
    <row r="161" spans="1:8" x14ac:dyDescent="0.3">
      <c r="A161" s="4">
        <v>160</v>
      </c>
      <c r="B161" s="5">
        <v>44356</v>
      </c>
      <c r="C161" s="6" t="s">
        <v>20</v>
      </c>
      <c r="D161" s="6" t="s">
        <v>12</v>
      </c>
      <c r="E161" s="6" t="s">
        <v>17</v>
      </c>
      <c r="F161" s="10">
        <v>4</v>
      </c>
      <c r="G161" s="10">
        <v>1500</v>
      </c>
      <c r="H161" s="10">
        <f t="shared" si="2"/>
        <v>6000</v>
      </c>
    </row>
    <row r="162" spans="1:8" x14ac:dyDescent="0.3">
      <c r="A162" s="4">
        <v>161</v>
      </c>
      <c r="B162" s="5">
        <v>44357</v>
      </c>
      <c r="C162" s="6" t="s">
        <v>20</v>
      </c>
      <c r="D162" s="6" t="s">
        <v>22</v>
      </c>
      <c r="E162" s="6" t="s">
        <v>19</v>
      </c>
      <c r="F162" s="10">
        <v>3</v>
      </c>
      <c r="G162" s="10">
        <v>300</v>
      </c>
      <c r="H162" s="10">
        <f t="shared" si="2"/>
        <v>900</v>
      </c>
    </row>
    <row r="163" spans="1:8" x14ac:dyDescent="0.3">
      <c r="A163" s="4">
        <v>162</v>
      </c>
      <c r="B163" s="5">
        <v>44358</v>
      </c>
      <c r="C163" s="6" t="s">
        <v>20</v>
      </c>
      <c r="D163" s="6" t="s">
        <v>23</v>
      </c>
      <c r="E163" s="6" t="s">
        <v>21</v>
      </c>
      <c r="F163" s="10">
        <v>2</v>
      </c>
      <c r="G163" s="10">
        <v>190</v>
      </c>
      <c r="H163" s="10">
        <f t="shared" si="2"/>
        <v>380</v>
      </c>
    </row>
    <row r="164" spans="1:8" x14ac:dyDescent="0.3">
      <c r="A164" s="4">
        <v>163</v>
      </c>
      <c r="B164" s="5">
        <v>44359</v>
      </c>
      <c r="C164" s="6" t="s">
        <v>8</v>
      </c>
      <c r="D164" s="6" t="s">
        <v>9</v>
      </c>
      <c r="E164" s="6" t="s">
        <v>10</v>
      </c>
      <c r="F164" s="10">
        <v>2</v>
      </c>
      <c r="G164" s="10">
        <v>210</v>
      </c>
      <c r="H164" s="10">
        <f t="shared" si="2"/>
        <v>420</v>
      </c>
    </row>
    <row r="165" spans="1:8" x14ac:dyDescent="0.3">
      <c r="A165" s="4">
        <v>164</v>
      </c>
      <c r="B165" s="5">
        <v>44360</v>
      </c>
      <c r="C165" s="6" t="s">
        <v>11</v>
      </c>
      <c r="D165" s="6" t="s">
        <v>12</v>
      </c>
      <c r="E165" s="6" t="s">
        <v>13</v>
      </c>
      <c r="F165" s="10">
        <v>7</v>
      </c>
      <c r="G165" s="10">
        <v>2100</v>
      </c>
      <c r="H165" s="10">
        <f t="shared" si="2"/>
        <v>14700</v>
      </c>
    </row>
    <row r="166" spans="1:8" x14ac:dyDescent="0.3">
      <c r="A166" s="4">
        <v>165</v>
      </c>
      <c r="B166" s="5">
        <v>44361</v>
      </c>
      <c r="C166" s="6" t="s">
        <v>14</v>
      </c>
      <c r="D166" s="6" t="s">
        <v>9</v>
      </c>
      <c r="E166" s="6" t="s">
        <v>15</v>
      </c>
      <c r="F166" s="10">
        <v>6</v>
      </c>
      <c r="G166" s="10">
        <v>1200</v>
      </c>
      <c r="H166" s="10">
        <f t="shared" si="2"/>
        <v>7200</v>
      </c>
    </row>
    <row r="167" spans="1:8" x14ac:dyDescent="0.3">
      <c r="A167" s="4">
        <v>166</v>
      </c>
      <c r="B167" s="5">
        <v>44362</v>
      </c>
      <c r="C167" s="6" t="s">
        <v>16</v>
      </c>
      <c r="D167" s="6" t="s">
        <v>12</v>
      </c>
      <c r="E167" s="6" t="s">
        <v>17</v>
      </c>
      <c r="F167" s="10">
        <v>5</v>
      </c>
      <c r="G167" s="10">
        <v>1500</v>
      </c>
      <c r="H167" s="10">
        <f t="shared" ref="H167:H230" si="3">F167*G167</f>
        <v>7500</v>
      </c>
    </row>
    <row r="168" spans="1:8" x14ac:dyDescent="0.3">
      <c r="A168" s="4">
        <v>167</v>
      </c>
      <c r="B168" s="5">
        <v>44363</v>
      </c>
      <c r="C168" s="6" t="s">
        <v>18</v>
      </c>
      <c r="D168" s="6" t="s">
        <v>9</v>
      </c>
      <c r="E168" s="6" t="s">
        <v>19</v>
      </c>
      <c r="F168" s="10">
        <v>4</v>
      </c>
      <c r="G168" s="10">
        <v>300</v>
      </c>
      <c r="H168" s="10">
        <f t="shared" si="3"/>
        <v>1200</v>
      </c>
    </row>
    <row r="169" spans="1:8" x14ac:dyDescent="0.3">
      <c r="A169" s="4">
        <v>168</v>
      </c>
      <c r="B169" s="5">
        <v>44364</v>
      </c>
      <c r="C169" s="6" t="s">
        <v>20</v>
      </c>
      <c r="D169" s="6" t="s">
        <v>9</v>
      </c>
      <c r="E169" s="6" t="s">
        <v>21</v>
      </c>
      <c r="F169" s="10">
        <v>3</v>
      </c>
      <c r="G169" s="10">
        <v>190</v>
      </c>
      <c r="H169" s="10">
        <f t="shared" si="3"/>
        <v>570</v>
      </c>
    </row>
    <row r="170" spans="1:8" x14ac:dyDescent="0.3">
      <c r="A170" s="4">
        <v>169</v>
      </c>
      <c r="B170" s="5">
        <v>44365</v>
      </c>
      <c r="C170" s="6" t="s">
        <v>8</v>
      </c>
      <c r="D170" s="6" t="s">
        <v>9</v>
      </c>
      <c r="E170" s="6" t="s">
        <v>10</v>
      </c>
      <c r="F170" s="10">
        <v>2</v>
      </c>
      <c r="G170" s="10">
        <v>210</v>
      </c>
      <c r="H170" s="10">
        <f t="shared" si="3"/>
        <v>420</v>
      </c>
    </row>
    <row r="171" spans="1:8" x14ac:dyDescent="0.3">
      <c r="A171" s="4">
        <v>170</v>
      </c>
      <c r="B171" s="5">
        <v>44366</v>
      </c>
      <c r="C171" s="6" t="s">
        <v>11</v>
      </c>
      <c r="D171" s="6" t="s">
        <v>12</v>
      </c>
      <c r="E171" s="6" t="s">
        <v>15</v>
      </c>
      <c r="F171" s="10">
        <v>7</v>
      </c>
      <c r="G171" s="10">
        <v>2100</v>
      </c>
      <c r="H171" s="10">
        <f t="shared" si="3"/>
        <v>14700</v>
      </c>
    </row>
    <row r="172" spans="1:8" x14ac:dyDescent="0.3">
      <c r="A172" s="4">
        <v>171</v>
      </c>
      <c r="B172" s="5">
        <v>44367</v>
      </c>
      <c r="C172" s="6" t="s">
        <v>14</v>
      </c>
      <c r="D172" s="6" t="s">
        <v>12</v>
      </c>
      <c r="E172" s="6" t="s">
        <v>17</v>
      </c>
      <c r="F172" s="10">
        <v>6</v>
      </c>
      <c r="G172" s="10">
        <v>1200</v>
      </c>
      <c r="H172" s="10">
        <f t="shared" si="3"/>
        <v>7200</v>
      </c>
    </row>
    <row r="173" spans="1:8" x14ac:dyDescent="0.3">
      <c r="A173" s="4">
        <v>172</v>
      </c>
      <c r="B173" s="5">
        <v>44368</v>
      </c>
      <c r="C173" s="6" t="s">
        <v>16</v>
      </c>
      <c r="D173" s="6" t="s">
        <v>9</v>
      </c>
      <c r="E173" s="6" t="s">
        <v>19</v>
      </c>
      <c r="F173" s="10">
        <v>5</v>
      </c>
      <c r="G173" s="10">
        <v>300</v>
      </c>
      <c r="H173" s="10">
        <f t="shared" si="3"/>
        <v>1500</v>
      </c>
    </row>
    <row r="174" spans="1:8" x14ac:dyDescent="0.3">
      <c r="A174" s="4">
        <v>173</v>
      </c>
      <c r="B174" s="5">
        <v>44369</v>
      </c>
      <c r="C174" s="6" t="s">
        <v>18</v>
      </c>
      <c r="D174" s="6" t="s">
        <v>9</v>
      </c>
      <c r="E174" s="6" t="s">
        <v>21</v>
      </c>
      <c r="F174" s="10">
        <v>4</v>
      </c>
      <c r="G174" s="10">
        <v>200</v>
      </c>
      <c r="H174" s="10">
        <f t="shared" si="3"/>
        <v>800</v>
      </c>
    </row>
    <row r="175" spans="1:8" x14ac:dyDescent="0.3">
      <c r="A175" s="4">
        <v>174</v>
      </c>
      <c r="B175" s="5">
        <v>44370</v>
      </c>
      <c r="C175" s="6" t="s">
        <v>20</v>
      </c>
      <c r="D175" s="6" t="s">
        <v>12</v>
      </c>
      <c r="E175" s="6" t="s">
        <v>10</v>
      </c>
      <c r="F175" s="10">
        <v>3</v>
      </c>
      <c r="G175" s="10">
        <v>190</v>
      </c>
      <c r="H175" s="10">
        <f t="shared" si="3"/>
        <v>570</v>
      </c>
    </row>
    <row r="176" spans="1:8" x14ac:dyDescent="0.3">
      <c r="A176" s="4">
        <v>175</v>
      </c>
      <c r="B176" s="5">
        <v>44371</v>
      </c>
      <c r="C176" s="6" t="s">
        <v>20</v>
      </c>
      <c r="D176" s="6" t="s">
        <v>9</v>
      </c>
      <c r="E176" s="6" t="s">
        <v>13</v>
      </c>
      <c r="F176" s="10">
        <v>2</v>
      </c>
      <c r="G176" s="10">
        <v>2100</v>
      </c>
      <c r="H176" s="10">
        <f t="shared" si="3"/>
        <v>4200</v>
      </c>
    </row>
    <row r="177" spans="1:8" x14ac:dyDescent="0.3">
      <c r="A177" s="4">
        <v>176</v>
      </c>
      <c r="B177" s="5">
        <v>44372</v>
      </c>
      <c r="C177" s="6" t="s">
        <v>8</v>
      </c>
      <c r="D177" s="6" t="s">
        <v>9</v>
      </c>
      <c r="E177" s="6" t="s">
        <v>10</v>
      </c>
      <c r="F177" s="10">
        <v>7</v>
      </c>
      <c r="G177" s="10">
        <v>210</v>
      </c>
      <c r="H177" s="10">
        <f t="shared" si="3"/>
        <v>1470</v>
      </c>
    </row>
    <row r="178" spans="1:8" x14ac:dyDescent="0.3">
      <c r="A178" s="4">
        <v>177</v>
      </c>
      <c r="B178" s="5">
        <v>44373</v>
      </c>
      <c r="C178" s="6" t="s">
        <v>11</v>
      </c>
      <c r="D178" s="6" t="s">
        <v>9</v>
      </c>
      <c r="E178" s="6" t="s">
        <v>10</v>
      </c>
      <c r="F178" s="10">
        <v>3</v>
      </c>
      <c r="G178" s="10">
        <v>190</v>
      </c>
      <c r="H178" s="10">
        <f t="shared" si="3"/>
        <v>570</v>
      </c>
    </row>
    <row r="179" spans="1:8" x14ac:dyDescent="0.3">
      <c r="A179" s="4">
        <v>178</v>
      </c>
      <c r="B179" s="5">
        <v>44374</v>
      </c>
      <c r="C179" s="6" t="s">
        <v>14</v>
      </c>
      <c r="D179" s="6" t="s">
        <v>9</v>
      </c>
      <c r="E179" s="6" t="s">
        <v>10</v>
      </c>
      <c r="F179" s="10">
        <v>3</v>
      </c>
      <c r="G179" s="10">
        <v>190</v>
      </c>
      <c r="H179" s="10">
        <f t="shared" si="3"/>
        <v>570</v>
      </c>
    </row>
    <row r="180" spans="1:8" x14ac:dyDescent="0.3">
      <c r="A180" s="4">
        <v>179</v>
      </c>
      <c r="B180" s="5">
        <v>44375</v>
      </c>
      <c r="C180" s="6" t="s">
        <v>16</v>
      </c>
      <c r="D180" s="6" t="s">
        <v>9</v>
      </c>
      <c r="E180" s="6" t="s">
        <v>10</v>
      </c>
      <c r="F180" s="10">
        <v>3</v>
      </c>
      <c r="G180" s="10">
        <v>190</v>
      </c>
      <c r="H180" s="10">
        <f t="shared" si="3"/>
        <v>570</v>
      </c>
    </row>
    <row r="181" spans="1:8" x14ac:dyDescent="0.3">
      <c r="A181" s="4">
        <v>180</v>
      </c>
      <c r="B181" s="5">
        <v>44376</v>
      </c>
      <c r="C181" s="6" t="s">
        <v>18</v>
      </c>
      <c r="D181" s="6" t="s">
        <v>9</v>
      </c>
      <c r="E181" s="6" t="s">
        <v>10</v>
      </c>
      <c r="F181" s="10">
        <v>3</v>
      </c>
      <c r="G181" s="10">
        <v>190</v>
      </c>
      <c r="H181" s="10">
        <f t="shared" si="3"/>
        <v>570</v>
      </c>
    </row>
    <row r="182" spans="1:8" x14ac:dyDescent="0.3">
      <c r="A182" s="4">
        <v>181</v>
      </c>
      <c r="B182" s="5">
        <v>44377</v>
      </c>
      <c r="C182" s="6" t="s">
        <v>20</v>
      </c>
      <c r="D182" s="6" t="s">
        <v>9</v>
      </c>
      <c r="E182" s="6" t="s">
        <v>10</v>
      </c>
      <c r="F182" s="10">
        <v>3</v>
      </c>
      <c r="G182" s="10">
        <v>190</v>
      </c>
      <c r="H182" s="10">
        <f t="shared" si="3"/>
        <v>570</v>
      </c>
    </row>
    <row r="183" spans="1:8" x14ac:dyDescent="0.3">
      <c r="A183" s="4">
        <v>182</v>
      </c>
      <c r="B183" s="5">
        <v>44378</v>
      </c>
      <c r="C183" s="6" t="s">
        <v>8</v>
      </c>
      <c r="D183" s="6" t="s">
        <v>9</v>
      </c>
      <c r="E183" s="6" t="s">
        <v>10</v>
      </c>
      <c r="F183" s="10">
        <v>3</v>
      </c>
      <c r="G183" s="10">
        <v>190</v>
      </c>
      <c r="H183" s="10">
        <f t="shared" si="3"/>
        <v>570</v>
      </c>
    </row>
    <row r="184" spans="1:8" x14ac:dyDescent="0.3">
      <c r="A184" s="4">
        <v>183</v>
      </c>
      <c r="B184" s="5">
        <v>44379</v>
      </c>
      <c r="C184" s="6" t="s">
        <v>11</v>
      </c>
      <c r="D184" s="6" t="s">
        <v>12</v>
      </c>
      <c r="E184" s="6" t="s">
        <v>10</v>
      </c>
      <c r="F184" s="10">
        <v>3</v>
      </c>
      <c r="G184" s="10">
        <v>190</v>
      </c>
      <c r="H184" s="10">
        <f t="shared" si="3"/>
        <v>570</v>
      </c>
    </row>
    <row r="185" spans="1:8" x14ac:dyDescent="0.3">
      <c r="A185" s="4">
        <v>184</v>
      </c>
      <c r="B185" s="5">
        <v>44380</v>
      </c>
      <c r="C185" s="6" t="s">
        <v>14</v>
      </c>
      <c r="D185" s="6" t="s">
        <v>9</v>
      </c>
      <c r="E185" s="6" t="s">
        <v>15</v>
      </c>
      <c r="F185" s="10">
        <v>5</v>
      </c>
      <c r="G185" s="10">
        <v>1200</v>
      </c>
      <c r="H185" s="10">
        <f t="shared" si="3"/>
        <v>6000</v>
      </c>
    </row>
    <row r="186" spans="1:8" x14ac:dyDescent="0.3">
      <c r="A186" s="4">
        <v>185</v>
      </c>
      <c r="B186" s="5">
        <v>44381</v>
      </c>
      <c r="C186" s="6" t="s">
        <v>16</v>
      </c>
      <c r="D186" s="6" t="s">
        <v>12</v>
      </c>
      <c r="E186" s="6" t="s">
        <v>17</v>
      </c>
      <c r="F186" s="10">
        <v>4</v>
      </c>
      <c r="G186" s="10">
        <v>1500</v>
      </c>
      <c r="H186" s="10">
        <f t="shared" si="3"/>
        <v>6000</v>
      </c>
    </row>
    <row r="187" spans="1:8" x14ac:dyDescent="0.3">
      <c r="A187" s="4">
        <v>186</v>
      </c>
      <c r="B187" s="5">
        <v>44382</v>
      </c>
      <c r="C187" s="6" t="s">
        <v>18</v>
      </c>
      <c r="D187" s="6" t="s">
        <v>9</v>
      </c>
      <c r="E187" s="6" t="s">
        <v>19</v>
      </c>
      <c r="F187" s="10">
        <v>3</v>
      </c>
      <c r="G187" s="10">
        <v>300</v>
      </c>
      <c r="H187" s="10">
        <f t="shared" si="3"/>
        <v>900</v>
      </c>
    </row>
    <row r="188" spans="1:8" x14ac:dyDescent="0.3">
      <c r="A188" s="4">
        <v>187</v>
      </c>
      <c r="B188" s="5">
        <v>44383</v>
      </c>
      <c r="C188" s="6" t="s">
        <v>20</v>
      </c>
      <c r="D188" s="6" t="s">
        <v>9</v>
      </c>
      <c r="E188" s="6" t="s">
        <v>21</v>
      </c>
      <c r="F188" s="10">
        <v>2</v>
      </c>
      <c r="G188" s="10">
        <v>190</v>
      </c>
      <c r="H188" s="10">
        <f t="shared" si="3"/>
        <v>380</v>
      </c>
    </row>
    <row r="189" spans="1:8" x14ac:dyDescent="0.3">
      <c r="A189" s="4">
        <v>188</v>
      </c>
      <c r="B189" s="5">
        <v>44384</v>
      </c>
      <c r="C189" s="6" t="s">
        <v>20</v>
      </c>
      <c r="D189" s="6" t="s">
        <v>9</v>
      </c>
      <c r="E189" s="6" t="s">
        <v>10</v>
      </c>
      <c r="F189" s="10">
        <v>2</v>
      </c>
      <c r="G189" s="10">
        <v>210</v>
      </c>
      <c r="H189" s="10">
        <f t="shared" si="3"/>
        <v>420</v>
      </c>
    </row>
    <row r="190" spans="1:8" x14ac:dyDescent="0.3">
      <c r="A190" s="4">
        <v>189</v>
      </c>
      <c r="B190" s="5">
        <v>44385</v>
      </c>
      <c r="C190" s="6" t="s">
        <v>8</v>
      </c>
      <c r="D190" s="6" t="s">
        <v>9</v>
      </c>
      <c r="E190" s="6" t="s">
        <v>13</v>
      </c>
      <c r="F190" s="10">
        <v>7</v>
      </c>
      <c r="G190" s="10">
        <v>2100</v>
      </c>
      <c r="H190" s="10">
        <f t="shared" si="3"/>
        <v>14700</v>
      </c>
    </row>
    <row r="191" spans="1:8" x14ac:dyDescent="0.3">
      <c r="A191" s="4">
        <v>190</v>
      </c>
      <c r="B191" s="5">
        <v>44386</v>
      </c>
      <c r="C191" s="6" t="s">
        <v>8</v>
      </c>
      <c r="D191" s="6" t="s">
        <v>12</v>
      </c>
      <c r="E191" s="6" t="s">
        <v>15</v>
      </c>
      <c r="F191" s="10">
        <v>6</v>
      </c>
      <c r="G191" s="10">
        <v>1200</v>
      </c>
      <c r="H191" s="10">
        <f t="shared" si="3"/>
        <v>7200</v>
      </c>
    </row>
    <row r="192" spans="1:8" x14ac:dyDescent="0.3">
      <c r="A192" s="4">
        <v>191</v>
      </c>
      <c r="B192" s="5">
        <v>44387</v>
      </c>
      <c r="C192" s="6" t="s">
        <v>8</v>
      </c>
      <c r="D192" s="6" t="s">
        <v>22</v>
      </c>
      <c r="E192" s="6" t="s">
        <v>17</v>
      </c>
      <c r="F192" s="10">
        <v>5</v>
      </c>
      <c r="G192" s="10">
        <v>1500</v>
      </c>
      <c r="H192" s="10">
        <f t="shared" si="3"/>
        <v>7500</v>
      </c>
    </row>
    <row r="193" spans="1:8" x14ac:dyDescent="0.3">
      <c r="A193" s="4">
        <v>192</v>
      </c>
      <c r="B193" s="5">
        <v>44388</v>
      </c>
      <c r="C193" s="6" t="s">
        <v>8</v>
      </c>
      <c r="D193" s="6" t="s">
        <v>23</v>
      </c>
      <c r="E193" s="6" t="s">
        <v>19</v>
      </c>
      <c r="F193" s="10">
        <v>4</v>
      </c>
      <c r="G193" s="10">
        <v>300</v>
      </c>
      <c r="H193" s="10">
        <f t="shared" si="3"/>
        <v>1200</v>
      </c>
    </row>
    <row r="194" spans="1:8" x14ac:dyDescent="0.3">
      <c r="A194" s="4">
        <v>193</v>
      </c>
      <c r="B194" s="5">
        <v>44389</v>
      </c>
      <c r="C194" s="6" t="s">
        <v>8</v>
      </c>
      <c r="D194" s="6" t="s">
        <v>9</v>
      </c>
      <c r="E194" s="6" t="s">
        <v>21</v>
      </c>
      <c r="F194" s="10">
        <v>3</v>
      </c>
      <c r="G194" s="10">
        <v>190</v>
      </c>
      <c r="H194" s="10">
        <f t="shared" si="3"/>
        <v>570</v>
      </c>
    </row>
    <row r="195" spans="1:8" x14ac:dyDescent="0.3">
      <c r="A195" s="4">
        <v>194</v>
      </c>
      <c r="B195" s="5">
        <v>44390</v>
      </c>
      <c r="C195" s="6" t="s">
        <v>8</v>
      </c>
      <c r="D195" s="6" t="s">
        <v>12</v>
      </c>
      <c r="E195" s="6" t="s">
        <v>10</v>
      </c>
      <c r="F195" s="10">
        <v>2</v>
      </c>
      <c r="G195" s="10">
        <v>210</v>
      </c>
      <c r="H195" s="10">
        <f t="shared" si="3"/>
        <v>420</v>
      </c>
    </row>
    <row r="196" spans="1:8" x14ac:dyDescent="0.3">
      <c r="A196" s="4">
        <v>195</v>
      </c>
      <c r="B196" s="5">
        <v>44391</v>
      </c>
      <c r="C196" s="6" t="s">
        <v>8</v>
      </c>
      <c r="D196" s="6" t="s">
        <v>22</v>
      </c>
      <c r="E196" s="6" t="s">
        <v>15</v>
      </c>
      <c r="F196" s="10">
        <v>7</v>
      </c>
      <c r="G196" s="10">
        <v>2100</v>
      </c>
      <c r="H196" s="10">
        <f t="shared" si="3"/>
        <v>14700</v>
      </c>
    </row>
    <row r="197" spans="1:8" x14ac:dyDescent="0.3">
      <c r="A197" s="4">
        <v>196</v>
      </c>
      <c r="B197" s="5">
        <v>44392</v>
      </c>
      <c r="C197" s="6" t="s">
        <v>8</v>
      </c>
      <c r="D197" s="6" t="s">
        <v>23</v>
      </c>
      <c r="E197" s="6" t="s">
        <v>17</v>
      </c>
      <c r="F197" s="10">
        <v>6</v>
      </c>
      <c r="G197" s="10">
        <v>1200</v>
      </c>
      <c r="H197" s="10">
        <f t="shared" si="3"/>
        <v>7200</v>
      </c>
    </row>
    <row r="198" spans="1:8" x14ac:dyDescent="0.3">
      <c r="A198" s="4">
        <v>197</v>
      </c>
      <c r="B198" s="5">
        <v>44393</v>
      </c>
      <c r="C198" s="6" t="s">
        <v>11</v>
      </c>
      <c r="D198" s="6" t="s">
        <v>12</v>
      </c>
      <c r="E198" s="6" t="s">
        <v>19</v>
      </c>
      <c r="F198" s="10">
        <v>5</v>
      </c>
      <c r="G198" s="10">
        <v>300</v>
      </c>
      <c r="H198" s="10">
        <f t="shared" si="3"/>
        <v>1500</v>
      </c>
    </row>
    <row r="199" spans="1:8" x14ac:dyDescent="0.3">
      <c r="A199" s="4">
        <v>198</v>
      </c>
      <c r="B199" s="5">
        <v>44394</v>
      </c>
      <c r="C199" s="6" t="s">
        <v>11</v>
      </c>
      <c r="D199" s="6" t="s">
        <v>9</v>
      </c>
      <c r="E199" s="6" t="s">
        <v>21</v>
      </c>
      <c r="F199" s="10">
        <v>4</v>
      </c>
      <c r="G199" s="10">
        <v>200</v>
      </c>
      <c r="H199" s="10">
        <f t="shared" si="3"/>
        <v>800</v>
      </c>
    </row>
    <row r="200" spans="1:8" x14ac:dyDescent="0.3">
      <c r="A200" s="4">
        <v>199</v>
      </c>
      <c r="B200" s="5">
        <v>44395</v>
      </c>
      <c r="C200" s="6" t="s">
        <v>11</v>
      </c>
      <c r="D200" s="6" t="s">
        <v>22</v>
      </c>
      <c r="E200" s="6" t="s">
        <v>10</v>
      </c>
      <c r="F200" s="10">
        <v>3</v>
      </c>
      <c r="G200" s="10">
        <v>190</v>
      </c>
      <c r="H200" s="10">
        <f t="shared" si="3"/>
        <v>570</v>
      </c>
    </row>
    <row r="201" spans="1:8" x14ac:dyDescent="0.3">
      <c r="A201" s="4">
        <v>200</v>
      </c>
      <c r="B201" s="5">
        <v>44396</v>
      </c>
      <c r="C201" s="6" t="s">
        <v>11</v>
      </c>
      <c r="D201" s="6" t="s">
        <v>23</v>
      </c>
      <c r="E201" s="6" t="s">
        <v>13</v>
      </c>
      <c r="F201" s="10">
        <v>2</v>
      </c>
      <c r="G201" s="10">
        <v>2100</v>
      </c>
      <c r="H201" s="10">
        <f t="shared" si="3"/>
        <v>4200</v>
      </c>
    </row>
    <row r="202" spans="1:8" x14ac:dyDescent="0.3">
      <c r="A202" s="4">
        <v>201</v>
      </c>
      <c r="B202" s="5">
        <v>44397</v>
      </c>
      <c r="C202" s="6" t="s">
        <v>11</v>
      </c>
      <c r="D202" s="6" t="s">
        <v>12</v>
      </c>
      <c r="E202" s="6" t="s">
        <v>10</v>
      </c>
      <c r="F202" s="10">
        <v>7</v>
      </c>
      <c r="G202" s="10">
        <v>210</v>
      </c>
      <c r="H202" s="10">
        <f t="shared" si="3"/>
        <v>1470</v>
      </c>
    </row>
    <row r="203" spans="1:8" x14ac:dyDescent="0.3">
      <c r="A203" s="4">
        <v>202</v>
      </c>
      <c r="B203" s="5">
        <v>44398</v>
      </c>
      <c r="C203" s="6" t="s">
        <v>11</v>
      </c>
      <c r="D203" s="6" t="s">
        <v>9</v>
      </c>
      <c r="E203" s="6" t="s">
        <v>13</v>
      </c>
      <c r="F203" s="10">
        <v>6</v>
      </c>
      <c r="G203" s="10">
        <v>2100</v>
      </c>
      <c r="H203" s="10">
        <f t="shared" si="3"/>
        <v>12600</v>
      </c>
    </row>
    <row r="204" spans="1:8" x14ac:dyDescent="0.3">
      <c r="A204" s="4">
        <v>203</v>
      </c>
      <c r="B204" s="5">
        <v>44399</v>
      </c>
      <c r="C204" s="6" t="s">
        <v>11</v>
      </c>
      <c r="D204" s="6" t="s">
        <v>22</v>
      </c>
      <c r="E204" s="6" t="s">
        <v>15</v>
      </c>
      <c r="F204" s="10">
        <v>5</v>
      </c>
      <c r="G204" s="10">
        <v>1200</v>
      </c>
      <c r="H204" s="10">
        <f t="shared" si="3"/>
        <v>6000</v>
      </c>
    </row>
    <row r="205" spans="1:8" x14ac:dyDescent="0.3">
      <c r="A205" s="4">
        <v>204</v>
      </c>
      <c r="B205" s="5">
        <v>44400</v>
      </c>
      <c r="C205" s="6" t="s">
        <v>11</v>
      </c>
      <c r="D205" s="6" t="s">
        <v>23</v>
      </c>
      <c r="E205" s="6" t="s">
        <v>17</v>
      </c>
      <c r="F205" s="10">
        <v>4</v>
      </c>
      <c r="G205" s="10">
        <v>1500</v>
      </c>
      <c r="H205" s="10">
        <f t="shared" si="3"/>
        <v>6000</v>
      </c>
    </row>
    <row r="206" spans="1:8" x14ac:dyDescent="0.3">
      <c r="A206" s="4">
        <v>205</v>
      </c>
      <c r="B206" s="5">
        <v>44401</v>
      </c>
      <c r="C206" s="6" t="s">
        <v>14</v>
      </c>
      <c r="D206" s="6" t="s">
        <v>23</v>
      </c>
      <c r="E206" s="6" t="s">
        <v>19</v>
      </c>
      <c r="F206" s="10">
        <v>3</v>
      </c>
      <c r="G206" s="10">
        <v>300</v>
      </c>
      <c r="H206" s="10">
        <f t="shared" si="3"/>
        <v>900</v>
      </c>
    </row>
    <row r="207" spans="1:8" x14ac:dyDescent="0.3">
      <c r="A207" s="4">
        <v>206</v>
      </c>
      <c r="B207" s="5">
        <v>44402</v>
      </c>
      <c r="C207" s="6" t="s">
        <v>16</v>
      </c>
      <c r="D207" s="6" t="s">
        <v>23</v>
      </c>
      <c r="E207" s="6" t="s">
        <v>21</v>
      </c>
      <c r="F207" s="10">
        <v>2</v>
      </c>
      <c r="G207" s="10">
        <v>190</v>
      </c>
      <c r="H207" s="10">
        <f t="shared" si="3"/>
        <v>380</v>
      </c>
    </row>
    <row r="208" spans="1:8" x14ac:dyDescent="0.3">
      <c r="A208" s="4">
        <v>207</v>
      </c>
      <c r="B208" s="5">
        <v>44403</v>
      </c>
      <c r="C208" s="6" t="s">
        <v>18</v>
      </c>
      <c r="D208" s="6" t="s">
        <v>23</v>
      </c>
      <c r="E208" s="6" t="s">
        <v>10</v>
      </c>
      <c r="F208" s="10">
        <v>7</v>
      </c>
      <c r="G208" s="10">
        <v>210</v>
      </c>
      <c r="H208" s="10">
        <f t="shared" si="3"/>
        <v>1470</v>
      </c>
    </row>
    <row r="209" spans="1:8" x14ac:dyDescent="0.3">
      <c r="A209" s="4">
        <v>208</v>
      </c>
      <c r="B209" s="5">
        <v>44404</v>
      </c>
      <c r="C209" s="6" t="s">
        <v>20</v>
      </c>
      <c r="D209" s="6" t="s">
        <v>23</v>
      </c>
      <c r="E209" s="6" t="s">
        <v>13</v>
      </c>
      <c r="F209" s="10">
        <v>6</v>
      </c>
      <c r="G209" s="10">
        <v>2100</v>
      </c>
      <c r="H209" s="10">
        <f t="shared" si="3"/>
        <v>12600</v>
      </c>
    </row>
    <row r="210" spans="1:8" x14ac:dyDescent="0.3">
      <c r="A210" s="4">
        <v>209</v>
      </c>
      <c r="B210" s="5">
        <v>44405</v>
      </c>
      <c r="C210" s="6" t="s">
        <v>20</v>
      </c>
      <c r="D210" s="6" t="s">
        <v>9</v>
      </c>
      <c r="E210" s="6" t="s">
        <v>15</v>
      </c>
      <c r="F210" s="10">
        <v>5</v>
      </c>
      <c r="G210" s="10">
        <v>1200</v>
      </c>
      <c r="H210" s="10">
        <f t="shared" si="3"/>
        <v>6000</v>
      </c>
    </row>
    <row r="211" spans="1:8" x14ac:dyDescent="0.3">
      <c r="A211" s="4">
        <v>210</v>
      </c>
      <c r="B211" s="5">
        <v>44406</v>
      </c>
      <c r="C211" s="6" t="s">
        <v>20</v>
      </c>
      <c r="D211" s="6" t="s">
        <v>12</v>
      </c>
      <c r="E211" s="6" t="s">
        <v>17</v>
      </c>
      <c r="F211" s="10">
        <v>4</v>
      </c>
      <c r="G211" s="10">
        <v>1500</v>
      </c>
      <c r="H211" s="10">
        <f t="shared" si="3"/>
        <v>6000</v>
      </c>
    </row>
    <row r="212" spans="1:8" x14ac:dyDescent="0.3">
      <c r="A212" s="4">
        <v>211</v>
      </c>
      <c r="B212" s="5">
        <v>44407</v>
      </c>
      <c r="C212" s="6" t="s">
        <v>20</v>
      </c>
      <c r="D212" s="6" t="s">
        <v>22</v>
      </c>
      <c r="E212" s="6" t="s">
        <v>19</v>
      </c>
      <c r="F212" s="10">
        <v>3</v>
      </c>
      <c r="G212" s="10">
        <v>300</v>
      </c>
      <c r="H212" s="10">
        <f t="shared" si="3"/>
        <v>900</v>
      </c>
    </row>
    <row r="213" spans="1:8" x14ac:dyDescent="0.3">
      <c r="A213" s="4">
        <v>212</v>
      </c>
      <c r="B213" s="5">
        <v>44408</v>
      </c>
      <c r="C213" s="6" t="s">
        <v>20</v>
      </c>
      <c r="D213" s="6" t="s">
        <v>23</v>
      </c>
      <c r="E213" s="6" t="s">
        <v>21</v>
      </c>
      <c r="F213" s="10">
        <v>2</v>
      </c>
      <c r="G213" s="10">
        <v>190</v>
      </c>
      <c r="H213" s="10">
        <f t="shared" si="3"/>
        <v>380</v>
      </c>
    </row>
    <row r="214" spans="1:8" x14ac:dyDescent="0.3">
      <c r="A214" s="4">
        <v>213</v>
      </c>
      <c r="B214" s="5">
        <v>44409</v>
      </c>
      <c r="C214" s="6" t="s">
        <v>20</v>
      </c>
      <c r="D214" s="6" t="s">
        <v>9</v>
      </c>
      <c r="E214" s="6" t="s">
        <v>10</v>
      </c>
      <c r="F214" s="10">
        <v>2</v>
      </c>
      <c r="G214" s="10">
        <v>210</v>
      </c>
      <c r="H214" s="10">
        <f t="shared" si="3"/>
        <v>420</v>
      </c>
    </row>
    <row r="215" spans="1:8" x14ac:dyDescent="0.3">
      <c r="A215" s="4">
        <v>214</v>
      </c>
      <c r="B215" s="5">
        <v>44410</v>
      </c>
      <c r="C215" s="6" t="s">
        <v>20</v>
      </c>
      <c r="D215" s="6" t="s">
        <v>12</v>
      </c>
      <c r="E215" s="6" t="s">
        <v>13</v>
      </c>
      <c r="F215" s="10">
        <v>7</v>
      </c>
      <c r="G215" s="10">
        <v>2100</v>
      </c>
      <c r="H215" s="10">
        <f t="shared" si="3"/>
        <v>14700</v>
      </c>
    </row>
    <row r="216" spans="1:8" x14ac:dyDescent="0.3">
      <c r="A216" s="4">
        <v>215</v>
      </c>
      <c r="B216" s="5">
        <v>44411</v>
      </c>
      <c r="C216" s="6" t="s">
        <v>20</v>
      </c>
      <c r="D216" s="6" t="s">
        <v>22</v>
      </c>
      <c r="E216" s="6" t="s">
        <v>15</v>
      </c>
      <c r="F216" s="10">
        <v>6</v>
      </c>
      <c r="G216" s="10">
        <v>1200</v>
      </c>
      <c r="H216" s="10">
        <f t="shared" si="3"/>
        <v>7200</v>
      </c>
    </row>
    <row r="217" spans="1:8" x14ac:dyDescent="0.3">
      <c r="A217" s="4">
        <v>216</v>
      </c>
      <c r="B217" s="5">
        <v>44412</v>
      </c>
      <c r="C217" s="6" t="s">
        <v>20</v>
      </c>
      <c r="D217" s="6" t="s">
        <v>23</v>
      </c>
      <c r="E217" s="6" t="s">
        <v>17</v>
      </c>
      <c r="F217" s="10">
        <v>5</v>
      </c>
      <c r="G217" s="10">
        <v>1500</v>
      </c>
      <c r="H217" s="10">
        <f t="shared" si="3"/>
        <v>7500</v>
      </c>
    </row>
    <row r="218" spans="1:8" x14ac:dyDescent="0.3">
      <c r="A218" s="4">
        <v>217</v>
      </c>
      <c r="B218" s="5">
        <v>44413</v>
      </c>
      <c r="C218" s="6" t="s">
        <v>8</v>
      </c>
      <c r="D218" s="6" t="s">
        <v>9</v>
      </c>
      <c r="E218" s="6" t="s">
        <v>19</v>
      </c>
      <c r="F218" s="10">
        <v>4</v>
      </c>
      <c r="G218" s="10">
        <v>300</v>
      </c>
      <c r="H218" s="10">
        <f t="shared" si="3"/>
        <v>1200</v>
      </c>
    </row>
    <row r="219" spans="1:8" x14ac:dyDescent="0.3">
      <c r="A219" s="4">
        <v>218</v>
      </c>
      <c r="B219" s="5">
        <v>44414</v>
      </c>
      <c r="C219" s="6" t="s">
        <v>11</v>
      </c>
      <c r="D219" s="6" t="s">
        <v>12</v>
      </c>
      <c r="E219" s="6" t="s">
        <v>21</v>
      </c>
      <c r="F219" s="10">
        <v>3</v>
      </c>
      <c r="G219" s="10">
        <v>190</v>
      </c>
      <c r="H219" s="10">
        <f t="shared" si="3"/>
        <v>570</v>
      </c>
    </row>
    <row r="220" spans="1:8" x14ac:dyDescent="0.3">
      <c r="A220" s="4">
        <v>219</v>
      </c>
      <c r="B220" s="5">
        <v>44415</v>
      </c>
      <c r="C220" s="6" t="s">
        <v>14</v>
      </c>
      <c r="D220" s="6" t="s">
        <v>9</v>
      </c>
      <c r="E220" s="6" t="s">
        <v>10</v>
      </c>
      <c r="F220" s="10">
        <v>2</v>
      </c>
      <c r="G220" s="10">
        <v>210</v>
      </c>
      <c r="H220" s="10">
        <f t="shared" si="3"/>
        <v>420</v>
      </c>
    </row>
    <row r="221" spans="1:8" x14ac:dyDescent="0.3">
      <c r="A221" s="4">
        <v>220</v>
      </c>
      <c r="B221" s="5">
        <v>44416</v>
      </c>
      <c r="C221" s="6" t="s">
        <v>16</v>
      </c>
      <c r="D221" s="6" t="s">
        <v>12</v>
      </c>
      <c r="E221" s="6" t="s">
        <v>15</v>
      </c>
      <c r="F221" s="10">
        <v>7</v>
      </c>
      <c r="G221" s="10">
        <v>2100</v>
      </c>
      <c r="H221" s="10">
        <f t="shared" si="3"/>
        <v>14700</v>
      </c>
    </row>
    <row r="222" spans="1:8" x14ac:dyDescent="0.3">
      <c r="A222" s="4">
        <v>221</v>
      </c>
      <c r="B222" s="5">
        <v>44417</v>
      </c>
      <c r="C222" s="6" t="s">
        <v>18</v>
      </c>
      <c r="D222" s="6" t="s">
        <v>9</v>
      </c>
      <c r="E222" s="6" t="s">
        <v>17</v>
      </c>
      <c r="F222" s="10">
        <v>6</v>
      </c>
      <c r="G222" s="10">
        <v>1200</v>
      </c>
      <c r="H222" s="10">
        <f t="shared" si="3"/>
        <v>7200</v>
      </c>
    </row>
    <row r="223" spans="1:8" x14ac:dyDescent="0.3">
      <c r="A223" s="4">
        <v>222</v>
      </c>
      <c r="B223" s="5">
        <v>44418</v>
      </c>
      <c r="C223" s="6" t="s">
        <v>20</v>
      </c>
      <c r="D223" s="6" t="s">
        <v>9</v>
      </c>
      <c r="E223" s="6" t="s">
        <v>19</v>
      </c>
      <c r="F223" s="10">
        <v>5</v>
      </c>
      <c r="G223" s="10">
        <v>300</v>
      </c>
      <c r="H223" s="10">
        <f t="shared" si="3"/>
        <v>1500</v>
      </c>
    </row>
    <row r="224" spans="1:8" x14ac:dyDescent="0.3">
      <c r="A224" s="4">
        <v>223</v>
      </c>
      <c r="B224" s="5">
        <v>44419</v>
      </c>
      <c r="C224" s="6" t="s">
        <v>8</v>
      </c>
      <c r="D224" s="6" t="s">
        <v>9</v>
      </c>
      <c r="E224" s="6" t="s">
        <v>21</v>
      </c>
      <c r="F224" s="10">
        <v>4</v>
      </c>
      <c r="G224" s="10">
        <v>200</v>
      </c>
      <c r="H224" s="10">
        <f t="shared" si="3"/>
        <v>800</v>
      </c>
    </row>
    <row r="225" spans="1:8" x14ac:dyDescent="0.3">
      <c r="A225" s="4">
        <v>224</v>
      </c>
      <c r="B225" s="5">
        <v>44420</v>
      </c>
      <c r="C225" s="6" t="s">
        <v>11</v>
      </c>
      <c r="D225" s="6" t="s">
        <v>12</v>
      </c>
      <c r="E225" s="6" t="s">
        <v>10</v>
      </c>
      <c r="F225" s="10">
        <v>3</v>
      </c>
      <c r="G225" s="10">
        <v>190</v>
      </c>
      <c r="H225" s="10">
        <f t="shared" si="3"/>
        <v>570</v>
      </c>
    </row>
    <row r="226" spans="1:8" x14ac:dyDescent="0.3">
      <c r="A226" s="4">
        <v>225</v>
      </c>
      <c r="B226" s="5">
        <v>44421</v>
      </c>
      <c r="C226" s="6" t="s">
        <v>14</v>
      </c>
      <c r="D226" s="6" t="s">
        <v>12</v>
      </c>
      <c r="E226" s="6" t="s">
        <v>13</v>
      </c>
      <c r="F226" s="10">
        <v>2</v>
      </c>
      <c r="G226" s="10">
        <v>2100</v>
      </c>
      <c r="H226" s="10">
        <f t="shared" si="3"/>
        <v>4200</v>
      </c>
    </row>
    <row r="227" spans="1:8" x14ac:dyDescent="0.3">
      <c r="A227" s="4">
        <v>226</v>
      </c>
      <c r="B227" s="5">
        <v>44422</v>
      </c>
      <c r="C227" s="6" t="s">
        <v>16</v>
      </c>
      <c r="D227" s="6" t="s">
        <v>9</v>
      </c>
      <c r="E227" s="6" t="s">
        <v>10</v>
      </c>
      <c r="F227" s="10">
        <v>7</v>
      </c>
      <c r="G227" s="10">
        <v>210</v>
      </c>
      <c r="H227" s="10">
        <f t="shared" si="3"/>
        <v>1470</v>
      </c>
    </row>
    <row r="228" spans="1:8" x14ac:dyDescent="0.3">
      <c r="A228" s="4">
        <v>227</v>
      </c>
      <c r="B228" s="5">
        <v>44423</v>
      </c>
      <c r="C228" s="6" t="s">
        <v>18</v>
      </c>
      <c r="D228" s="6" t="s">
        <v>9</v>
      </c>
      <c r="E228" s="6" t="s">
        <v>13</v>
      </c>
      <c r="F228" s="10">
        <v>6</v>
      </c>
      <c r="G228" s="10">
        <v>2100</v>
      </c>
      <c r="H228" s="10">
        <f t="shared" si="3"/>
        <v>12600</v>
      </c>
    </row>
    <row r="229" spans="1:8" x14ac:dyDescent="0.3">
      <c r="A229" s="4">
        <v>228</v>
      </c>
      <c r="B229" s="5">
        <v>44424</v>
      </c>
      <c r="C229" s="6" t="s">
        <v>20</v>
      </c>
      <c r="D229" s="6" t="s">
        <v>12</v>
      </c>
      <c r="E229" s="6" t="s">
        <v>15</v>
      </c>
      <c r="F229" s="10">
        <v>5</v>
      </c>
      <c r="G229" s="10">
        <v>1200</v>
      </c>
      <c r="H229" s="10">
        <f t="shared" si="3"/>
        <v>6000</v>
      </c>
    </row>
    <row r="230" spans="1:8" x14ac:dyDescent="0.3">
      <c r="A230" s="4">
        <v>229</v>
      </c>
      <c r="B230" s="5">
        <v>44425</v>
      </c>
      <c r="C230" s="6" t="s">
        <v>20</v>
      </c>
      <c r="D230" s="6" t="s">
        <v>9</v>
      </c>
      <c r="E230" s="6" t="s">
        <v>17</v>
      </c>
      <c r="F230" s="10">
        <v>4</v>
      </c>
      <c r="G230" s="10">
        <v>1500</v>
      </c>
      <c r="H230" s="10">
        <f t="shared" si="3"/>
        <v>6000</v>
      </c>
    </row>
    <row r="231" spans="1:8" x14ac:dyDescent="0.3">
      <c r="A231" s="4">
        <v>230</v>
      </c>
      <c r="B231" s="5">
        <v>44426</v>
      </c>
      <c r="C231" s="6" t="s">
        <v>8</v>
      </c>
      <c r="D231" s="6" t="s">
        <v>9</v>
      </c>
      <c r="E231" s="6" t="s">
        <v>19</v>
      </c>
      <c r="F231" s="10">
        <v>3</v>
      </c>
      <c r="G231" s="10">
        <v>300</v>
      </c>
      <c r="H231" s="10">
        <f t="shared" ref="H231:H262" si="4">F231*G231</f>
        <v>900</v>
      </c>
    </row>
    <row r="232" spans="1:8" x14ac:dyDescent="0.3">
      <c r="A232" s="4">
        <v>231</v>
      </c>
      <c r="B232" s="5">
        <v>44427</v>
      </c>
      <c r="C232" s="6" t="s">
        <v>11</v>
      </c>
      <c r="D232" s="6" t="s">
        <v>9</v>
      </c>
      <c r="E232" s="6" t="s">
        <v>21</v>
      </c>
      <c r="F232" s="10">
        <v>2</v>
      </c>
      <c r="G232" s="10">
        <v>190</v>
      </c>
      <c r="H232" s="10">
        <f t="shared" si="4"/>
        <v>380</v>
      </c>
    </row>
    <row r="233" spans="1:8" x14ac:dyDescent="0.3">
      <c r="A233" s="4">
        <v>232</v>
      </c>
      <c r="B233" s="5">
        <v>44428</v>
      </c>
      <c r="C233" s="6" t="s">
        <v>14</v>
      </c>
      <c r="D233" s="6" t="s">
        <v>9</v>
      </c>
      <c r="E233" s="6" t="s">
        <v>10</v>
      </c>
      <c r="F233" s="10">
        <v>7</v>
      </c>
      <c r="G233" s="10">
        <v>210</v>
      </c>
      <c r="H233" s="10">
        <f t="shared" si="4"/>
        <v>1470</v>
      </c>
    </row>
    <row r="234" spans="1:8" x14ac:dyDescent="0.3">
      <c r="A234" s="4">
        <v>233</v>
      </c>
      <c r="B234" s="5">
        <v>44429</v>
      </c>
      <c r="C234" s="6" t="s">
        <v>16</v>
      </c>
      <c r="D234" s="6" t="s">
        <v>9</v>
      </c>
      <c r="E234" s="6" t="s">
        <v>13</v>
      </c>
      <c r="F234" s="10">
        <v>6</v>
      </c>
      <c r="G234" s="10">
        <v>2100</v>
      </c>
      <c r="H234" s="10">
        <f t="shared" si="4"/>
        <v>12600</v>
      </c>
    </row>
    <row r="235" spans="1:8" x14ac:dyDescent="0.3">
      <c r="A235" s="4">
        <v>234</v>
      </c>
      <c r="B235" s="5">
        <v>44430</v>
      </c>
      <c r="C235" s="6" t="s">
        <v>18</v>
      </c>
      <c r="D235" s="6" t="s">
        <v>9</v>
      </c>
      <c r="E235" s="6" t="s">
        <v>13</v>
      </c>
      <c r="F235" s="10">
        <v>7</v>
      </c>
      <c r="G235" s="10">
        <v>2100</v>
      </c>
      <c r="H235" s="10">
        <f t="shared" si="4"/>
        <v>14700</v>
      </c>
    </row>
    <row r="236" spans="1:8" x14ac:dyDescent="0.3">
      <c r="A236" s="4">
        <v>235</v>
      </c>
      <c r="B236" s="5">
        <v>44431</v>
      </c>
      <c r="C236" s="6" t="s">
        <v>20</v>
      </c>
      <c r="D236" s="6" t="s">
        <v>9</v>
      </c>
      <c r="E236" s="6" t="s">
        <v>17</v>
      </c>
      <c r="F236" s="10">
        <v>4</v>
      </c>
      <c r="G236" s="10">
        <v>1500</v>
      </c>
      <c r="H236" s="10">
        <f t="shared" si="4"/>
        <v>6000</v>
      </c>
    </row>
    <row r="237" spans="1:8" x14ac:dyDescent="0.3">
      <c r="A237" s="4">
        <v>236</v>
      </c>
      <c r="B237" s="5">
        <v>44432</v>
      </c>
      <c r="C237" s="6" t="s">
        <v>8</v>
      </c>
      <c r="D237" s="6" t="s">
        <v>9</v>
      </c>
      <c r="E237" s="6" t="s">
        <v>19</v>
      </c>
      <c r="F237" s="10">
        <v>3</v>
      </c>
      <c r="G237" s="10">
        <v>300</v>
      </c>
      <c r="H237" s="10">
        <f t="shared" si="4"/>
        <v>900</v>
      </c>
    </row>
    <row r="238" spans="1:8" x14ac:dyDescent="0.3">
      <c r="A238" s="4">
        <v>237</v>
      </c>
      <c r="B238" s="5">
        <v>44433</v>
      </c>
      <c r="C238" s="6" t="s">
        <v>11</v>
      </c>
      <c r="D238" s="6" t="s">
        <v>12</v>
      </c>
      <c r="E238" s="6" t="s">
        <v>21</v>
      </c>
      <c r="F238" s="10">
        <v>2</v>
      </c>
      <c r="G238" s="10">
        <v>190</v>
      </c>
      <c r="H238" s="10">
        <f t="shared" si="4"/>
        <v>380</v>
      </c>
    </row>
    <row r="239" spans="1:8" x14ac:dyDescent="0.3">
      <c r="A239" s="4">
        <v>238</v>
      </c>
      <c r="B239" s="5">
        <v>44434</v>
      </c>
      <c r="C239" s="6" t="s">
        <v>14</v>
      </c>
      <c r="D239" s="6" t="s">
        <v>9</v>
      </c>
      <c r="E239" s="6" t="s">
        <v>10</v>
      </c>
      <c r="F239" s="10">
        <v>2</v>
      </c>
      <c r="G239" s="10">
        <v>210</v>
      </c>
      <c r="H239" s="10">
        <f t="shared" si="4"/>
        <v>420</v>
      </c>
    </row>
    <row r="240" spans="1:8" x14ac:dyDescent="0.3">
      <c r="A240" s="4">
        <v>239</v>
      </c>
      <c r="B240" s="5">
        <v>44435</v>
      </c>
      <c r="C240" s="6" t="s">
        <v>16</v>
      </c>
      <c r="D240" s="6" t="s">
        <v>12</v>
      </c>
      <c r="E240" s="6" t="s">
        <v>13</v>
      </c>
      <c r="F240" s="10">
        <v>7</v>
      </c>
      <c r="G240" s="10">
        <v>2100</v>
      </c>
      <c r="H240" s="10">
        <f t="shared" si="4"/>
        <v>14700</v>
      </c>
    </row>
    <row r="241" spans="1:8" x14ac:dyDescent="0.3">
      <c r="A241" s="4">
        <v>240</v>
      </c>
      <c r="B241" s="5">
        <v>44436</v>
      </c>
      <c r="C241" s="6" t="s">
        <v>18</v>
      </c>
      <c r="D241" s="6" t="s">
        <v>9</v>
      </c>
      <c r="E241" s="6" t="s">
        <v>15</v>
      </c>
      <c r="F241" s="10">
        <v>6</v>
      </c>
      <c r="G241" s="10">
        <v>1200</v>
      </c>
      <c r="H241" s="10">
        <f t="shared" si="4"/>
        <v>7200</v>
      </c>
    </row>
    <row r="242" spans="1:8" x14ac:dyDescent="0.3">
      <c r="A242" s="4">
        <v>241</v>
      </c>
      <c r="B242" s="5">
        <v>44437</v>
      </c>
      <c r="C242" s="6" t="s">
        <v>20</v>
      </c>
      <c r="D242" s="6" t="s">
        <v>9</v>
      </c>
      <c r="E242" s="6" t="s">
        <v>17</v>
      </c>
      <c r="F242" s="10">
        <v>5</v>
      </c>
      <c r="G242" s="10">
        <v>1500</v>
      </c>
      <c r="H242" s="10">
        <f t="shared" si="4"/>
        <v>7500</v>
      </c>
    </row>
    <row r="243" spans="1:8" x14ac:dyDescent="0.3">
      <c r="A243" s="4">
        <v>242</v>
      </c>
      <c r="B243" s="5">
        <v>44438</v>
      </c>
      <c r="C243" s="6" t="s">
        <v>20</v>
      </c>
      <c r="D243" s="6" t="s">
        <v>9</v>
      </c>
      <c r="E243" s="6" t="s">
        <v>19</v>
      </c>
      <c r="F243" s="10">
        <v>4</v>
      </c>
      <c r="G243" s="10">
        <v>300</v>
      </c>
      <c r="H243" s="10">
        <f t="shared" si="4"/>
        <v>1200</v>
      </c>
    </row>
    <row r="244" spans="1:8" x14ac:dyDescent="0.3">
      <c r="A244" s="4">
        <v>243</v>
      </c>
      <c r="B244" s="5">
        <v>44439</v>
      </c>
      <c r="C244" s="6" t="s">
        <v>8</v>
      </c>
      <c r="D244" s="6" t="s">
        <v>9</v>
      </c>
      <c r="E244" s="6" t="s">
        <v>19</v>
      </c>
      <c r="F244" s="10">
        <v>3</v>
      </c>
      <c r="G244" s="10">
        <v>300</v>
      </c>
      <c r="H244" s="10">
        <f t="shared" si="4"/>
        <v>900</v>
      </c>
    </row>
    <row r="245" spans="1:8" x14ac:dyDescent="0.3">
      <c r="A245" s="4">
        <v>244</v>
      </c>
      <c r="B245" s="5">
        <v>44440</v>
      </c>
      <c r="C245" s="6" t="s">
        <v>8</v>
      </c>
      <c r="D245" s="6" t="s">
        <v>12</v>
      </c>
      <c r="E245" s="6" t="s">
        <v>21</v>
      </c>
      <c r="F245" s="10">
        <v>2</v>
      </c>
      <c r="G245" s="10">
        <v>190</v>
      </c>
      <c r="H245" s="10">
        <f t="shared" si="4"/>
        <v>380</v>
      </c>
    </row>
    <row r="246" spans="1:8" x14ac:dyDescent="0.3">
      <c r="A246" s="4">
        <v>245</v>
      </c>
      <c r="B246" s="5">
        <v>44441</v>
      </c>
      <c r="C246" s="6" t="s">
        <v>8</v>
      </c>
      <c r="D246" s="6" t="s">
        <v>22</v>
      </c>
      <c r="E246" s="6" t="s">
        <v>10</v>
      </c>
      <c r="F246" s="10">
        <v>2</v>
      </c>
      <c r="G246" s="10">
        <v>210</v>
      </c>
      <c r="H246" s="10">
        <f t="shared" si="4"/>
        <v>420</v>
      </c>
    </row>
    <row r="247" spans="1:8" x14ac:dyDescent="0.3">
      <c r="A247" s="4">
        <v>246</v>
      </c>
      <c r="B247" s="5">
        <v>44442</v>
      </c>
      <c r="C247" s="6" t="s">
        <v>8</v>
      </c>
      <c r="D247" s="6" t="s">
        <v>23</v>
      </c>
      <c r="E247" s="6" t="s">
        <v>13</v>
      </c>
      <c r="F247" s="10">
        <v>7</v>
      </c>
      <c r="G247" s="10">
        <v>2100</v>
      </c>
      <c r="H247" s="10">
        <f t="shared" si="4"/>
        <v>14700</v>
      </c>
    </row>
    <row r="248" spans="1:8" x14ac:dyDescent="0.3">
      <c r="A248" s="4">
        <v>247</v>
      </c>
      <c r="B248" s="5">
        <v>44443</v>
      </c>
      <c r="C248" s="6" t="s">
        <v>8</v>
      </c>
      <c r="D248" s="6" t="s">
        <v>9</v>
      </c>
      <c r="E248" s="6" t="s">
        <v>15</v>
      </c>
      <c r="F248" s="10">
        <v>6</v>
      </c>
      <c r="G248" s="10">
        <v>1200</v>
      </c>
      <c r="H248" s="10">
        <f t="shared" si="4"/>
        <v>7200</v>
      </c>
    </row>
    <row r="249" spans="1:8" x14ac:dyDescent="0.3">
      <c r="A249" s="4">
        <v>248</v>
      </c>
      <c r="B249" s="5">
        <v>44444</v>
      </c>
      <c r="C249" s="6" t="s">
        <v>8</v>
      </c>
      <c r="D249" s="6" t="s">
        <v>12</v>
      </c>
      <c r="E249" s="6" t="s">
        <v>17</v>
      </c>
      <c r="F249" s="10">
        <v>5</v>
      </c>
      <c r="G249" s="10">
        <v>1500</v>
      </c>
      <c r="H249" s="10">
        <f t="shared" si="4"/>
        <v>7500</v>
      </c>
    </row>
    <row r="250" spans="1:8" x14ac:dyDescent="0.3">
      <c r="A250" s="4">
        <v>249</v>
      </c>
      <c r="B250" s="5">
        <v>44445</v>
      </c>
      <c r="C250" s="6" t="s">
        <v>8</v>
      </c>
      <c r="D250" s="6" t="s">
        <v>22</v>
      </c>
      <c r="E250" s="6" t="s">
        <v>19</v>
      </c>
      <c r="F250" s="10">
        <v>4</v>
      </c>
      <c r="G250" s="10">
        <v>300</v>
      </c>
      <c r="H250" s="10">
        <f t="shared" si="4"/>
        <v>1200</v>
      </c>
    </row>
    <row r="251" spans="1:8" x14ac:dyDescent="0.3">
      <c r="A251" s="4">
        <v>250</v>
      </c>
      <c r="B251" s="5">
        <v>44446</v>
      </c>
      <c r="C251" s="6" t="s">
        <v>8</v>
      </c>
      <c r="D251" s="6" t="s">
        <v>23</v>
      </c>
      <c r="E251" s="6" t="s">
        <v>19</v>
      </c>
      <c r="F251" s="10">
        <v>3</v>
      </c>
      <c r="G251" s="10">
        <v>300</v>
      </c>
      <c r="H251" s="10">
        <f t="shared" si="4"/>
        <v>900</v>
      </c>
    </row>
    <row r="252" spans="1:8" x14ac:dyDescent="0.3">
      <c r="A252" s="4">
        <v>251</v>
      </c>
      <c r="B252" s="5">
        <v>44447</v>
      </c>
      <c r="C252" s="6" t="s">
        <v>11</v>
      </c>
      <c r="D252" s="6" t="s">
        <v>12</v>
      </c>
      <c r="E252" s="6" t="s">
        <v>21</v>
      </c>
      <c r="F252" s="10">
        <v>2</v>
      </c>
      <c r="G252" s="10">
        <v>190</v>
      </c>
      <c r="H252" s="10">
        <f t="shared" si="4"/>
        <v>380</v>
      </c>
    </row>
    <row r="253" spans="1:8" x14ac:dyDescent="0.3">
      <c r="A253" s="4">
        <v>252</v>
      </c>
      <c r="B253" s="5">
        <v>44448</v>
      </c>
      <c r="C253" s="6" t="s">
        <v>11</v>
      </c>
      <c r="D253" s="6" t="s">
        <v>9</v>
      </c>
      <c r="E253" s="6" t="s">
        <v>10</v>
      </c>
      <c r="F253" s="10">
        <v>2</v>
      </c>
      <c r="G253" s="10">
        <v>210</v>
      </c>
      <c r="H253" s="10">
        <f t="shared" si="4"/>
        <v>420</v>
      </c>
    </row>
    <row r="254" spans="1:8" x14ac:dyDescent="0.3">
      <c r="A254" s="4">
        <v>253</v>
      </c>
      <c r="B254" s="5">
        <v>44449</v>
      </c>
      <c r="C254" s="6" t="s">
        <v>11</v>
      </c>
      <c r="D254" s="6" t="s">
        <v>22</v>
      </c>
      <c r="E254" s="6" t="s">
        <v>13</v>
      </c>
      <c r="F254" s="10">
        <v>7</v>
      </c>
      <c r="G254" s="10">
        <v>2100</v>
      </c>
      <c r="H254" s="10">
        <f t="shared" si="4"/>
        <v>14700</v>
      </c>
    </row>
    <row r="255" spans="1:8" x14ac:dyDescent="0.3">
      <c r="A255" s="4">
        <v>254</v>
      </c>
      <c r="B255" s="5">
        <v>44450</v>
      </c>
      <c r="C255" s="6" t="s">
        <v>11</v>
      </c>
      <c r="D255" s="6" t="s">
        <v>23</v>
      </c>
      <c r="E255" s="6" t="s">
        <v>15</v>
      </c>
      <c r="F255" s="10">
        <v>6</v>
      </c>
      <c r="G255" s="10">
        <v>1200</v>
      </c>
      <c r="H255" s="10">
        <f t="shared" si="4"/>
        <v>7200</v>
      </c>
    </row>
    <row r="256" spans="1:8" x14ac:dyDescent="0.3">
      <c r="A256" s="4">
        <v>255</v>
      </c>
      <c r="B256" s="5">
        <v>44451</v>
      </c>
      <c r="C256" s="6" t="s">
        <v>11</v>
      </c>
      <c r="D256" s="6" t="s">
        <v>12</v>
      </c>
      <c r="E256" s="6" t="s">
        <v>17</v>
      </c>
      <c r="F256" s="10">
        <v>5</v>
      </c>
      <c r="G256" s="10">
        <v>1500</v>
      </c>
      <c r="H256" s="10">
        <f t="shared" si="4"/>
        <v>7500</v>
      </c>
    </row>
    <row r="257" spans="1:8" x14ac:dyDescent="0.3">
      <c r="A257" s="4">
        <v>256</v>
      </c>
      <c r="B257" s="5">
        <v>44452</v>
      </c>
      <c r="C257" s="6" t="s">
        <v>11</v>
      </c>
      <c r="D257" s="6" t="s">
        <v>9</v>
      </c>
      <c r="E257" s="6" t="s">
        <v>19</v>
      </c>
      <c r="F257" s="10">
        <v>4</v>
      </c>
      <c r="G257" s="10">
        <v>300</v>
      </c>
      <c r="H257" s="10">
        <f t="shared" si="4"/>
        <v>1200</v>
      </c>
    </row>
    <row r="258" spans="1:8" x14ac:dyDescent="0.3">
      <c r="A258" s="4">
        <v>257</v>
      </c>
      <c r="B258" s="5">
        <v>44453</v>
      </c>
      <c r="C258" s="6" t="s">
        <v>11</v>
      </c>
      <c r="D258" s="6" t="s">
        <v>22</v>
      </c>
      <c r="E258" s="6" t="s">
        <v>10</v>
      </c>
      <c r="F258" s="10">
        <v>7</v>
      </c>
      <c r="G258" s="10">
        <v>210</v>
      </c>
      <c r="H258" s="10">
        <f t="shared" si="4"/>
        <v>1470</v>
      </c>
    </row>
    <row r="259" spans="1:8" x14ac:dyDescent="0.3">
      <c r="A259" s="4">
        <v>258</v>
      </c>
      <c r="B259" s="5">
        <v>44454</v>
      </c>
      <c r="C259" s="6" t="s">
        <v>11</v>
      </c>
      <c r="D259" s="6" t="s">
        <v>23</v>
      </c>
      <c r="E259" s="6" t="s">
        <v>13</v>
      </c>
      <c r="F259" s="10">
        <v>6</v>
      </c>
      <c r="G259" s="10">
        <v>2100</v>
      </c>
      <c r="H259" s="10">
        <f t="shared" si="4"/>
        <v>12600</v>
      </c>
    </row>
    <row r="260" spans="1:8" x14ac:dyDescent="0.3">
      <c r="A260" s="4">
        <v>259</v>
      </c>
      <c r="B260" s="5">
        <v>44455</v>
      </c>
      <c r="C260" s="6" t="s">
        <v>14</v>
      </c>
      <c r="D260" s="6" t="s">
        <v>23</v>
      </c>
      <c r="E260" s="6" t="s">
        <v>15</v>
      </c>
      <c r="F260" s="10">
        <v>5</v>
      </c>
      <c r="G260" s="10">
        <v>1200</v>
      </c>
      <c r="H260" s="10">
        <f t="shared" si="4"/>
        <v>6000</v>
      </c>
    </row>
    <row r="261" spans="1:8" x14ac:dyDescent="0.3">
      <c r="A261" s="4">
        <v>260</v>
      </c>
      <c r="B261" s="5">
        <v>44456</v>
      </c>
      <c r="C261" s="6" t="s">
        <v>16</v>
      </c>
      <c r="D261" s="6" t="s">
        <v>23</v>
      </c>
      <c r="E261" s="6" t="s">
        <v>17</v>
      </c>
      <c r="F261" s="10">
        <v>4</v>
      </c>
      <c r="G261" s="10">
        <v>1500</v>
      </c>
      <c r="H261" s="10">
        <f t="shared" si="4"/>
        <v>6000</v>
      </c>
    </row>
    <row r="262" spans="1:8" x14ac:dyDescent="0.3">
      <c r="A262" s="4">
        <v>261</v>
      </c>
      <c r="B262" s="5">
        <v>44457</v>
      </c>
      <c r="C262" s="6" t="s">
        <v>18</v>
      </c>
      <c r="D262" s="6" t="s">
        <v>23</v>
      </c>
      <c r="E262" s="6" t="s">
        <v>19</v>
      </c>
      <c r="F262" s="10">
        <v>3</v>
      </c>
      <c r="G262" s="10">
        <v>300</v>
      </c>
      <c r="H262" s="10">
        <f t="shared" si="4"/>
        <v>900</v>
      </c>
    </row>
    <row r="263" spans="1:8" x14ac:dyDescent="0.3">
      <c r="A263" s="4">
        <v>262</v>
      </c>
      <c r="B263" s="5">
        <v>44458</v>
      </c>
      <c r="C263" s="6" t="s">
        <v>20</v>
      </c>
      <c r="D263" s="6" t="s">
        <v>23</v>
      </c>
      <c r="E263" s="6" t="s">
        <v>21</v>
      </c>
      <c r="F263" s="10">
        <v>2</v>
      </c>
      <c r="G263" s="10">
        <v>190</v>
      </c>
      <c r="H263" s="10">
        <f t="shared" ref="H263:H322" si="5">F263*G263</f>
        <v>380</v>
      </c>
    </row>
    <row r="264" spans="1:8" x14ac:dyDescent="0.3">
      <c r="A264" s="4">
        <v>263</v>
      </c>
      <c r="B264" s="5">
        <v>44459</v>
      </c>
      <c r="C264" s="6" t="s">
        <v>20</v>
      </c>
      <c r="D264" s="6" t="s">
        <v>9</v>
      </c>
      <c r="E264" s="6" t="s">
        <v>10</v>
      </c>
      <c r="F264" s="10">
        <v>2</v>
      </c>
      <c r="G264" s="10">
        <v>210</v>
      </c>
      <c r="H264" s="10">
        <f t="shared" si="5"/>
        <v>420</v>
      </c>
    </row>
    <row r="265" spans="1:8" x14ac:dyDescent="0.3">
      <c r="A265" s="4">
        <v>264</v>
      </c>
      <c r="B265" s="5">
        <v>44460</v>
      </c>
      <c r="C265" s="6" t="s">
        <v>20</v>
      </c>
      <c r="D265" s="6" t="s">
        <v>12</v>
      </c>
      <c r="E265" s="6" t="s">
        <v>13</v>
      </c>
      <c r="F265" s="10">
        <v>7</v>
      </c>
      <c r="G265" s="10">
        <v>2100</v>
      </c>
      <c r="H265" s="10">
        <f t="shared" si="5"/>
        <v>14700</v>
      </c>
    </row>
    <row r="266" spans="1:8" x14ac:dyDescent="0.3">
      <c r="A266" s="4">
        <v>265</v>
      </c>
      <c r="B266" s="5">
        <v>44461</v>
      </c>
      <c r="C266" s="6" t="s">
        <v>20</v>
      </c>
      <c r="D266" s="6" t="s">
        <v>22</v>
      </c>
      <c r="E266" s="6" t="s">
        <v>15</v>
      </c>
      <c r="F266" s="10">
        <v>6</v>
      </c>
      <c r="G266" s="10">
        <v>1200</v>
      </c>
      <c r="H266" s="10">
        <f t="shared" si="5"/>
        <v>7200</v>
      </c>
    </row>
    <row r="267" spans="1:8" x14ac:dyDescent="0.3">
      <c r="A267" s="4">
        <v>266</v>
      </c>
      <c r="B267" s="5">
        <v>44462</v>
      </c>
      <c r="C267" s="6" t="s">
        <v>20</v>
      </c>
      <c r="D267" s="6" t="s">
        <v>23</v>
      </c>
      <c r="E267" s="6" t="s">
        <v>17</v>
      </c>
      <c r="F267" s="10">
        <v>5</v>
      </c>
      <c r="G267" s="10">
        <v>1500</v>
      </c>
      <c r="H267" s="10">
        <f t="shared" si="5"/>
        <v>7500</v>
      </c>
    </row>
    <row r="268" spans="1:8" x14ac:dyDescent="0.3">
      <c r="A268" s="4">
        <v>267</v>
      </c>
      <c r="B268" s="5">
        <v>44463</v>
      </c>
      <c r="C268" s="6" t="s">
        <v>20</v>
      </c>
      <c r="D268" s="6" t="s">
        <v>9</v>
      </c>
      <c r="E268" s="6" t="s">
        <v>13</v>
      </c>
      <c r="F268" s="10">
        <v>7</v>
      </c>
      <c r="G268" s="10">
        <v>2100</v>
      </c>
      <c r="H268" s="10">
        <f t="shared" si="5"/>
        <v>14700</v>
      </c>
    </row>
    <row r="269" spans="1:8" x14ac:dyDescent="0.3">
      <c r="A269" s="4">
        <v>268</v>
      </c>
      <c r="B269" s="5">
        <v>44464</v>
      </c>
      <c r="C269" s="6" t="s">
        <v>20</v>
      </c>
      <c r="D269" s="6" t="s">
        <v>12</v>
      </c>
      <c r="E269" s="6" t="s">
        <v>13</v>
      </c>
      <c r="F269" s="10">
        <v>7</v>
      </c>
      <c r="G269" s="10">
        <v>2100</v>
      </c>
      <c r="H269" s="10">
        <f t="shared" si="5"/>
        <v>14700</v>
      </c>
    </row>
    <row r="270" spans="1:8" x14ac:dyDescent="0.3">
      <c r="A270" s="4">
        <v>269</v>
      </c>
      <c r="B270" s="5">
        <v>44465</v>
      </c>
      <c r="C270" s="6" t="s">
        <v>20</v>
      </c>
      <c r="D270" s="6" t="s">
        <v>22</v>
      </c>
      <c r="E270" s="6" t="s">
        <v>13</v>
      </c>
      <c r="F270" s="10">
        <v>7</v>
      </c>
      <c r="G270" s="10">
        <v>2100</v>
      </c>
      <c r="H270" s="10">
        <f t="shared" si="5"/>
        <v>14700</v>
      </c>
    </row>
    <row r="271" spans="1:8" x14ac:dyDescent="0.3">
      <c r="A271" s="4">
        <v>270</v>
      </c>
      <c r="B271" s="5">
        <v>44466</v>
      </c>
      <c r="C271" s="6" t="s">
        <v>20</v>
      </c>
      <c r="D271" s="6" t="s">
        <v>23</v>
      </c>
      <c r="E271" s="6" t="s">
        <v>13</v>
      </c>
      <c r="F271" s="10">
        <v>7</v>
      </c>
      <c r="G271" s="10">
        <v>2100</v>
      </c>
      <c r="H271" s="10">
        <f t="shared" si="5"/>
        <v>14700</v>
      </c>
    </row>
    <row r="272" spans="1:8" x14ac:dyDescent="0.3">
      <c r="A272" s="4">
        <v>271</v>
      </c>
      <c r="B272" s="5">
        <v>44467</v>
      </c>
      <c r="C272" s="6" t="s">
        <v>8</v>
      </c>
      <c r="D272" s="6" t="s">
        <v>9</v>
      </c>
      <c r="E272" s="6" t="s">
        <v>13</v>
      </c>
      <c r="F272" s="10">
        <v>7</v>
      </c>
      <c r="G272" s="10">
        <v>2100</v>
      </c>
      <c r="H272" s="10">
        <f t="shared" si="5"/>
        <v>14700</v>
      </c>
    </row>
    <row r="273" spans="1:8" x14ac:dyDescent="0.3">
      <c r="A273" s="4">
        <v>272</v>
      </c>
      <c r="B273" s="5">
        <v>44468</v>
      </c>
      <c r="C273" s="6" t="s">
        <v>11</v>
      </c>
      <c r="D273" s="6" t="s">
        <v>12</v>
      </c>
      <c r="E273" s="6" t="s">
        <v>13</v>
      </c>
      <c r="F273" s="10">
        <v>7</v>
      </c>
      <c r="G273" s="10">
        <v>2100</v>
      </c>
      <c r="H273" s="10">
        <f t="shared" si="5"/>
        <v>14700</v>
      </c>
    </row>
    <row r="274" spans="1:8" x14ac:dyDescent="0.3">
      <c r="A274" s="4">
        <v>273</v>
      </c>
      <c r="B274" s="5">
        <v>44469</v>
      </c>
      <c r="C274" s="6" t="s">
        <v>14</v>
      </c>
      <c r="D274" s="6" t="s">
        <v>9</v>
      </c>
      <c r="E274" s="6" t="s">
        <v>13</v>
      </c>
      <c r="F274" s="10">
        <v>7</v>
      </c>
      <c r="G274" s="10">
        <v>2100</v>
      </c>
      <c r="H274" s="10">
        <f t="shared" si="5"/>
        <v>14700</v>
      </c>
    </row>
    <row r="275" spans="1:8" x14ac:dyDescent="0.3">
      <c r="A275" s="4">
        <v>274</v>
      </c>
      <c r="B275" s="5">
        <v>44470</v>
      </c>
      <c r="C275" s="6" t="s">
        <v>16</v>
      </c>
      <c r="D275" s="6" t="s">
        <v>12</v>
      </c>
      <c r="E275" s="6" t="s">
        <v>13</v>
      </c>
      <c r="F275" s="10">
        <v>7</v>
      </c>
      <c r="G275" s="10">
        <v>2100</v>
      </c>
      <c r="H275" s="10">
        <f t="shared" si="5"/>
        <v>14700</v>
      </c>
    </row>
    <row r="276" spans="1:8" x14ac:dyDescent="0.3">
      <c r="A276" s="4">
        <v>275</v>
      </c>
      <c r="B276" s="5">
        <v>44471</v>
      </c>
      <c r="C276" s="6" t="s">
        <v>18</v>
      </c>
      <c r="D276" s="6" t="s">
        <v>9</v>
      </c>
      <c r="E276" s="6" t="s">
        <v>13</v>
      </c>
      <c r="F276" s="10">
        <v>7</v>
      </c>
      <c r="G276" s="10">
        <v>2100</v>
      </c>
      <c r="H276" s="10">
        <f t="shared" si="5"/>
        <v>14700</v>
      </c>
    </row>
    <row r="277" spans="1:8" x14ac:dyDescent="0.3">
      <c r="A277" s="4">
        <v>276</v>
      </c>
      <c r="B277" s="5">
        <v>44472</v>
      </c>
      <c r="C277" s="6" t="s">
        <v>20</v>
      </c>
      <c r="D277" s="6" t="s">
        <v>9</v>
      </c>
      <c r="E277" s="6" t="s">
        <v>13</v>
      </c>
      <c r="F277" s="10">
        <v>7</v>
      </c>
      <c r="G277" s="10">
        <v>2100</v>
      </c>
      <c r="H277" s="10">
        <f t="shared" si="5"/>
        <v>14700</v>
      </c>
    </row>
    <row r="278" spans="1:8" x14ac:dyDescent="0.3">
      <c r="A278" s="4">
        <v>277</v>
      </c>
      <c r="B278" s="5">
        <v>44473</v>
      </c>
      <c r="C278" s="6" t="s">
        <v>8</v>
      </c>
      <c r="D278" s="6" t="s">
        <v>9</v>
      </c>
      <c r="E278" s="6" t="s">
        <v>13</v>
      </c>
      <c r="F278" s="10">
        <v>7</v>
      </c>
      <c r="G278" s="10">
        <v>2100</v>
      </c>
      <c r="H278" s="10">
        <f t="shared" si="5"/>
        <v>14700</v>
      </c>
    </row>
    <row r="279" spans="1:8" x14ac:dyDescent="0.3">
      <c r="A279" s="4">
        <v>278</v>
      </c>
      <c r="B279" s="5">
        <v>44474</v>
      </c>
      <c r="C279" s="6" t="s">
        <v>11</v>
      </c>
      <c r="D279" s="6" t="s">
        <v>12</v>
      </c>
      <c r="E279" s="6" t="s">
        <v>15</v>
      </c>
      <c r="F279" s="10">
        <v>5</v>
      </c>
      <c r="G279" s="10">
        <v>1200</v>
      </c>
      <c r="H279" s="10">
        <f t="shared" si="5"/>
        <v>6000</v>
      </c>
    </row>
    <row r="280" spans="1:8" x14ac:dyDescent="0.3">
      <c r="A280" s="4">
        <v>279</v>
      </c>
      <c r="B280" s="5">
        <v>44475</v>
      </c>
      <c r="C280" s="6" t="s">
        <v>14</v>
      </c>
      <c r="D280" s="6" t="s">
        <v>12</v>
      </c>
      <c r="E280" s="6" t="s">
        <v>17</v>
      </c>
      <c r="F280" s="10">
        <v>4</v>
      </c>
      <c r="G280" s="10">
        <v>1500</v>
      </c>
      <c r="H280" s="10">
        <f t="shared" si="5"/>
        <v>6000</v>
      </c>
    </row>
    <row r="281" spans="1:8" x14ac:dyDescent="0.3">
      <c r="A281" s="4">
        <v>280</v>
      </c>
      <c r="B281" s="5">
        <v>44476</v>
      </c>
      <c r="C281" s="6" t="s">
        <v>16</v>
      </c>
      <c r="D281" s="6" t="s">
        <v>9</v>
      </c>
      <c r="E281" s="6" t="s">
        <v>19</v>
      </c>
      <c r="F281" s="10">
        <v>3</v>
      </c>
      <c r="G281" s="10">
        <v>300</v>
      </c>
      <c r="H281" s="10">
        <f t="shared" si="5"/>
        <v>900</v>
      </c>
    </row>
    <row r="282" spans="1:8" x14ac:dyDescent="0.3">
      <c r="A282" s="4">
        <v>281</v>
      </c>
      <c r="B282" s="5">
        <v>44477</v>
      </c>
      <c r="C282" s="6" t="s">
        <v>18</v>
      </c>
      <c r="D282" s="6" t="s">
        <v>9</v>
      </c>
      <c r="E282" s="6" t="s">
        <v>21</v>
      </c>
      <c r="F282" s="10">
        <v>2</v>
      </c>
      <c r="G282" s="10">
        <v>190</v>
      </c>
      <c r="H282" s="10">
        <f t="shared" si="5"/>
        <v>380</v>
      </c>
    </row>
    <row r="283" spans="1:8" x14ac:dyDescent="0.3">
      <c r="A283" s="4">
        <v>282</v>
      </c>
      <c r="B283" s="5">
        <v>44478</v>
      </c>
      <c r="C283" s="6" t="s">
        <v>20</v>
      </c>
      <c r="D283" s="6" t="s">
        <v>12</v>
      </c>
      <c r="E283" s="6" t="s">
        <v>10</v>
      </c>
      <c r="F283" s="10">
        <v>7</v>
      </c>
      <c r="G283" s="10">
        <v>210</v>
      </c>
      <c r="H283" s="10">
        <f t="shared" si="5"/>
        <v>1470</v>
      </c>
    </row>
    <row r="284" spans="1:8" x14ac:dyDescent="0.3">
      <c r="A284" s="4">
        <v>283</v>
      </c>
      <c r="B284" s="5">
        <v>44479</v>
      </c>
      <c r="C284" s="6" t="s">
        <v>20</v>
      </c>
      <c r="D284" s="6" t="s">
        <v>9</v>
      </c>
      <c r="E284" s="6" t="s">
        <v>13</v>
      </c>
      <c r="F284" s="10">
        <v>6</v>
      </c>
      <c r="G284" s="10">
        <v>2100</v>
      </c>
      <c r="H284" s="10">
        <f t="shared" si="5"/>
        <v>12600</v>
      </c>
    </row>
    <row r="285" spans="1:8" x14ac:dyDescent="0.3">
      <c r="A285" s="4">
        <v>284</v>
      </c>
      <c r="B285" s="5">
        <v>44480</v>
      </c>
      <c r="C285" s="6" t="s">
        <v>8</v>
      </c>
      <c r="D285" s="6" t="s">
        <v>9</v>
      </c>
      <c r="E285" s="6" t="s">
        <v>15</v>
      </c>
      <c r="F285" s="10">
        <v>5</v>
      </c>
      <c r="G285" s="10">
        <v>1200</v>
      </c>
      <c r="H285" s="10">
        <f t="shared" si="5"/>
        <v>6000</v>
      </c>
    </row>
    <row r="286" spans="1:8" x14ac:dyDescent="0.3">
      <c r="A286" s="4">
        <v>285</v>
      </c>
      <c r="B286" s="5">
        <v>44481</v>
      </c>
      <c r="C286" s="6" t="s">
        <v>11</v>
      </c>
      <c r="D286" s="6" t="s">
        <v>9</v>
      </c>
      <c r="E286" s="6" t="s">
        <v>17</v>
      </c>
      <c r="F286" s="10">
        <v>4</v>
      </c>
      <c r="G286" s="10">
        <v>1500</v>
      </c>
      <c r="H286" s="10">
        <f t="shared" si="5"/>
        <v>6000</v>
      </c>
    </row>
    <row r="287" spans="1:8" x14ac:dyDescent="0.3">
      <c r="A287" s="4">
        <v>286</v>
      </c>
      <c r="B287" s="5">
        <v>44482</v>
      </c>
      <c r="C287" s="6" t="s">
        <v>14</v>
      </c>
      <c r="D287" s="6" t="s">
        <v>9</v>
      </c>
      <c r="E287" s="6" t="s">
        <v>19</v>
      </c>
      <c r="F287" s="10">
        <v>3</v>
      </c>
      <c r="G287" s="10">
        <v>300</v>
      </c>
      <c r="H287" s="10">
        <f t="shared" si="5"/>
        <v>900</v>
      </c>
    </row>
    <row r="288" spans="1:8" x14ac:dyDescent="0.3">
      <c r="A288" s="4">
        <v>287</v>
      </c>
      <c r="B288" s="5">
        <v>44483</v>
      </c>
      <c r="C288" s="6" t="s">
        <v>16</v>
      </c>
      <c r="D288" s="6" t="s">
        <v>9</v>
      </c>
      <c r="E288" s="6" t="s">
        <v>21</v>
      </c>
      <c r="F288" s="10">
        <v>2</v>
      </c>
      <c r="G288" s="10">
        <v>190</v>
      </c>
      <c r="H288" s="10">
        <f t="shared" si="5"/>
        <v>380</v>
      </c>
    </row>
    <row r="289" spans="1:8" x14ac:dyDescent="0.3">
      <c r="A289" s="4">
        <v>288</v>
      </c>
      <c r="B289" s="5">
        <v>44484</v>
      </c>
      <c r="C289" s="6" t="s">
        <v>18</v>
      </c>
      <c r="D289" s="6" t="s">
        <v>9</v>
      </c>
      <c r="E289" s="6" t="s">
        <v>10</v>
      </c>
      <c r="F289" s="10">
        <v>2</v>
      </c>
      <c r="G289" s="10">
        <v>210</v>
      </c>
      <c r="H289" s="10">
        <f t="shared" si="5"/>
        <v>420</v>
      </c>
    </row>
    <row r="290" spans="1:8" x14ac:dyDescent="0.3">
      <c r="A290" s="4">
        <v>289</v>
      </c>
      <c r="B290" s="5">
        <v>44485</v>
      </c>
      <c r="C290" s="6" t="s">
        <v>20</v>
      </c>
      <c r="D290" s="6" t="s">
        <v>9</v>
      </c>
      <c r="E290" s="6" t="s">
        <v>13</v>
      </c>
      <c r="F290" s="10">
        <v>7</v>
      </c>
      <c r="G290" s="10">
        <v>2100</v>
      </c>
      <c r="H290" s="10">
        <f t="shared" si="5"/>
        <v>14700</v>
      </c>
    </row>
    <row r="291" spans="1:8" x14ac:dyDescent="0.3">
      <c r="A291" s="4">
        <v>290</v>
      </c>
      <c r="B291" s="5">
        <v>44486</v>
      </c>
      <c r="C291" s="6" t="s">
        <v>8</v>
      </c>
      <c r="D291" s="6" t="s">
        <v>9</v>
      </c>
      <c r="E291" s="6" t="s">
        <v>15</v>
      </c>
      <c r="F291" s="10">
        <v>6</v>
      </c>
      <c r="G291" s="10">
        <v>1200</v>
      </c>
      <c r="H291" s="10">
        <f t="shared" si="5"/>
        <v>7200</v>
      </c>
    </row>
    <row r="292" spans="1:8" x14ac:dyDescent="0.3">
      <c r="A292" s="4">
        <v>291</v>
      </c>
      <c r="B292" s="5">
        <v>44487</v>
      </c>
      <c r="C292" s="6" t="s">
        <v>11</v>
      </c>
      <c r="D292" s="6" t="s">
        <v>12</v>
      </c>
      <c r="E292" s="6" t="s">
        <v>17</v>
      </c>
      <c r="F292" s="10">
        <v>5</v>
      </c>
      <c r="G292" s="10">
        <v>1500</v>
      </c>
      <c r="H292" s="10">
        <f t="shared" si="5"/>
        <v>7500</v>
      </c>
    </row>
    <row r="293" spans="1:8" x14ac:dyDescent="0.3">
      <c r="A293" s="4">
        <v>292</v>
      </c>
      <c r="B293" s="5">
        <v>44488</v>
      </c>
      <c r="C293" s="6" t="s">
        <v>14</v>
      </c>
      <c r="D293" s="6" t="s">
        <v>9</v>
      </c>
      <c r="E293" s="6" t="s">
        <v>19</v>
      </c>
      <c r="F293" s="10">
        <v>4</v>
      </c>
      <c r="G293" s="10">
        <v>300</v>
      </c>
      <c r="H293" s="10">
        <f t="shared" si="5"/>
        <v>1200</v>
      </c>
    </row>
    <row r="294" spans="1:8" x14ac:dyDescent="0.3">
      <c r="A294" s="4">
        <v>293</v>
      </c>
      <c r="B294" s="5">
        <v>44489</v>
      </c>
      <c r="C294" s="6" t="s">
        <v>16</v>
      </c>
      <c r="D294" s="6" t="s">
        <v>12</v>
      </c>
      <c r="E294" s="6" t="s">
        <v>17</v>
      </c>
      <c r="F294" s="10">
        <v>5</v>
      </c>
      <c r="G294" s="10">
        <v>1500</v>
      </c>
      <c r="H294" s="10">
        <f t="shared" si="5"/>
        <v>7500</v>
      </c>
    </row>
    <row r="295" spans="1:8" x14ac:dyDescent="0.3">
      <c r="A295" s="4">
        <v>294</v>
      </c>
      <c r="B295" s="5">
        <v>44490</v>
      </c>
      <c r="C295" s="6" t="s">
        <v>18</v>
      </c>
      <c r="D295" s="6" t="s">
        <v>9</v>
      </c>
      <c r="E295" s="6" t="s">
        <v>19</v>
      </c>
      <c r="F295" s="10">
        <v>4</v>
      </c>
      <c r="G295" s="10">
        <v>300</v>
      </c>
      <c r="H295" s="10">
        <f t="shared" si="5"/>
        <v>1200</v>
      </c>
    </row>
    <row r="296" spans="1:8" x14ac:dyDescent="0.3">
      <c r="A296" s="4">
        <v>295</v>
      </c>
      <c r="B296" s="5">
        <v>44491</v>
      </c>
      <c r="C296" s="6" t="s">
        <v>20</v>
      </c>
      <c r="D296" s="6" t="s">
        <v>9</v>
      </c>
      <c r="E296" s="6" t="s">
        <v>17</v>
      </c>
      <c r="F296" s="10">
        <v>5</v>
      </c>
      <c r="G296" s="10">
        <v>1500</v>
      </c>
      <c r="H296" s="10">
        <f t="shared" si="5"/>
        <v>7500</v>
      </c>
    </row>
    <row r="297" spans="1:8" x14ac:dyDescent="0.3">
      <c r="A297" s="4">
        <v>296</v>
      </c>
      <c r="B297" s="5">
        <v>44492</v>
      </c>
      <c r="C297" s="6" t="s">
        <v>20</v>
      </c>
      <c r="D297" s="6" t="s">
        <v>9</v>
      </c>
      <c r="E297" s="6" t="s">
        <v>19</v>
      </c>
      <c r="F297" s="10">
        <v>4</v>
      </c>
      <c r="G297" s="10">
        <v>300</v>
      </c>
      <c r="H297" s="10">
        <f t="shared" si="5"/>
        <v>1200</v>
      </c>
    </row>
    <row r="298" spans="1:8" x14ac:dyDescent="0.3">
      <c r="A298" s="4">
        <v>297</v>
      </c>
      <c r="B298" s="5">
        <v>44493</v>
      </c>
      <c r="C298" s="6" t="s">
        <v>8</v>
      </c>
      <c r="D298" s="6" t="s">
        <v>9</v>
      </c>
      <c r="E298" s="6" t="s">
        <v>17</v>
      </c>
      <c r="F298" s="10">
        <v>5</v>
      </c>
      <c r="G298" s="10">
        <v>1500</v>
      </c>
      <c r="H298" s="10">
        <f t="shared" si="5"/>
        <v>7500</v>
      </c>
    </row>
    <row r="299" spans="1:8" x14ac:dyDescent="0.3">
      <c r="A299" s="4">
        <v>298</v>
      </c>
      <c r="B299" s="5">
        <v>44494</v>
      </c>
      <c r="C299" s="6" t="s">
        <v>8</v>
      </c>
      <c r="D299" s="6" t="s">
        <v>12</v>
      </c>
      <c r="E299" s="6" t="s">
        <v>19</v>
      </c>
      <c r="F299" s="10">
        <v>4</v>
      </c>
      <c r="G299" s="10">
        <v>300</v>
      </c>
      <c r="H299" s="10">
        <f t="shared" si="5"/>
        <v>1200</v>
      </c>
    </row>
    <row r="300" spans="1:8" x14ac:dyDescent="0.3">
      <c r="A300" s="4">
        <v>299</v>
      </c>
      <c r="B300" s="5">
        <v>44495</v>
      </c>
      <c r="C300" s="6" t="s">
        <v>8</v>
      </c>
      <c r="D300" s="6" t="s">
        <v>22</v>
      </c>
      <c r="E300" s="6" t="s">
        <v>17</v>
      </c>
      <c r="F300" s="10">
        <v>5</v>
      </c>
      <c r="G300" s="10">
        <v>1500</v>
      </c>
      <c r="H300" s="10">
        <f t="shared" si="5"/>
        <v>7500</v>
      </c>
    </row>
    <row r="301" spans="1:8" x14ac:dyDescent="0.3">
      <c r="A301" s="4">
        <v>300</v>
      </c>
      <c r="B301" s="5">
        <v>44496</v>
      </c>
      <c r="C301" s="6" t="s">
        <v>8</v>
      </c>
      <c r="D301" s="6" t="s">
        <v>23</v>
      </c>
      <c r="E301" s="6" t="s">
        <v>19</v>
      </c>
      <c r="F301" s="10">
        <v>4</v>
      </c>
      <c r="G301" s="10">
        <v>300</v>
      </c>
      <c r="H301" s="10">
        <f t="shared" si="5"/>
        <v>1200</v>
      </c>
    </row>
    <row r="302" spans="1:8" x14ac:dyDescent="0.3">
      <c r="A302" s="4">
        <v>301</v>
      </c>
      <c r="B302" s="5">
        <v>44497</v>
      </c>
      <c r="C302" s="6" t="s">
        <v>8</v>
      </c>
      <c r="D302" s="6" t="s">
        <v>9</v>
      </c>
      <c r="E302" s="6" t="s">
        <v>17</v>
      </c>
      <c r="F302" s="10">
        <v>5</v>
      </c>
      <c r="G302" s="10">
        <v>1500</v>
      </c>
      <c r="H302" s="10">
        <f t="shared" si="5"/>
        <v>7500</v>
      </c>
    </row>
    <row r="303" spans="1:8" x14ac:dyDescent="0.3">
      <c r="A303" s="4">
        <v>302</v>
      </c>
      <c r="B303" s="5">
        <v>44498</v>
      </c>
      <c r="C303" s="6" t="s">
        <v>8</v>
      </c>
      <c r="D303" s="6" t="s">
        <v>12</v>
      </c>
      <c r="E303" s="6" t="s">
        <v>13</v>
      </c>
      <c r="F303" s="10">
        <v>6</v>
      </c>
      <c r="G303" s="10">
        <v>2100</v>
      </c>
      <c r="H303" s="10">
        <f t="shared" si="5"/>
        <v>12600</v>
      </c>
    </row>
    <row r="304" spans="1:8" x14ac:dyDescent="0.3">
      <c r="A304" s="4">
        <v>303</v>
      </c>
      <c r="B304" s="5">
        <v>44499</v>
      </c>
      <c r="C304" s="6" t="s">
        <v>8</v>
      </c>
      <c r="D304" s="6" t="s">
        <v>22</v>
      </c>
      <c r="E304" s="6" t="s">
        <v>15</v>
      </c>
      <c r="F304" s="10">
        <v>5</v>
      </c>
      <c r="G304" s="10">
        <v>1200</v>
      </c>
      <c r="H304" s="10">
        <f t="shared" si="5"/>
        <v>6000</v>
      </c>
    </row>
    <row r="305" spans="1:8" x14ac:dyDescent="0.3">
      <c r="A305" s="4">
        <v>304</v>
      </c>
      <c r="B305" s="5">
        <v>44500</v>
      </c>
      <c r="C305" s="6" t="s">
        <v>8</v>
      </c>
      <c r="D305" s="6" t="s">
        <v>23</v>
      </c>
      <c r="E305" s="6" t="s">
        <v>17</v>
      </c>
      <c r="F305" s="10">
        <v>4</v>
      </c>
      <c r="G305" s="10">
        <v>1500</v>
      </c>
      <c r="H305" s="10">
        <f t="shared" si="5"/>
        <v>6000</v>
      </c>
    </row>
    <row r="306" spans="1:8" x14ac:dyDescent="0.3">
      <c r="A306" s="4">
        <v>305</v>
      </c>
      <c r="B306" s="5">
        <v>44501</v>
      </c>
      <c r="C306" s="6" t="s">
        <v>11</v>
      </c>
      <c r="D306" s="6" t="s">
        <v>12</v>
      </c>
      <c r="E306" s="6" t="s">
        <v>19</v>
      </c>
      <c r="F306" s="10">
        <v>3</v>
      </c>
      <c r="G306" s="10">
        <v>300</v>
      </c>
      <c r="H306" s="10">
        <f t="shared" si="5"/>
        <v>900</v>
      </c>
    </row>
    <row r="307" spans="1:8" x14ac:dyDescent="0.3">
      <c r="A307" s="4">
        <v>306</v>
      </c>
      <c r="B307" s="5">
        <v>44502</v>
      </c>
      <c r="C307" s="6" t="s">
        <v>11</v>
      </c>
      <c r="D307" s="6" t="s">
        <v>9</v>
      </c>
      <c r="E307" s="6" t="s">
        <v>21</v>
      </c>
      <c r="F307" s="10">
        <v>2</v>
      </c>
      <c r="G307" s="10">
        <v>190</v>
      </c>
      <c r="H307" s="10">
        <f t="shared" si="5"/>
        <v>380</v>
      </c>
    </row>
    <row r="308" spans="1:8" x14ac:dyDescent="0.3">
      <c r="A308" s="4">
        <v>307</v>
      </c>
      <c r="B308" s="5">
        <v>44503</v>
      </c>
      <c r="C308" s="6" t="s">
        <v>11</v>
      </c>
      <c r="D308" s="6" t="s">
        <v>22</v>
      </c>
      <c r="E308" s="6" t="s">
        <v>21</v>
      </c>
      <c r="F308" s="10">
        <v>2</v>
      </c>
      <c r="G308" s="10">
        <v>190</v>
      </c>
      <c r="H308" s="10">
        <f t="shared" si="5"/>
        <v>380</v>
      </c>
    </row>
    <row r="309" spans="1:8" x14ac:dyDescent="0.3">
      <c r="A309" s="4">
        <v>308</v>
      </c>
      <c r="B309" s="5">
        <v>44504</v>
      </c>
      <c r="C309" s="6" t="s">
        <v>11</v>
      </c>
      <c r="D309" s="6" t="s">
        <v>23</v>
      </c>
      <c r="E309" s="6" t="s">
        <v>21</v>
      </c>
      <c r="F309" s="10">
        <v>2</v>
      </c>
      <c r="G309" s="10">
        <v>190</v>
      </c>
      <c r="H309" s="10">
        <f t="shared" si="5"/>
        <v>380</v>
      </c>
    </row>
    <row r="310" spans="1:8" x14ac:dyDescent="0.3">
      <c r="A310" s="4">
        <v>309</v>
      </c>
      <c r="B310" s="5">
        <v>44505</v>
      </c>
      <c r="C310" s="6" t="s">
        <v>11</v>
      </c>
      <c r="D310" s="6" t="s">
        <v>12</v>
      </c>
      <c r="E310" s="6" t="s">
        <v>21</v>
      </c>
      <c r="F310" s="10">
        <v>2</v>
      </c>
      <c r="G310" s="10">
        <v>190</v>
      </c>
      <c r="H310" s="10">
        <f t="shared" si="5"/>
        <v>380</v>
      </c>
    </row>
    <row r="311" spans="1:8" x14ac:dyDescent="0.3">
      <c r="A311" s="4">
        <v>310</v>
      </c>
      <c r="B311" s="5">
        <v>44506</v>
      </c>
      <c r="C311" s="6" t="s">
        <v>11</v>
      </c>
      <c r="D311" s="6" t="s">
        <v>9</v>
      </c>
      <c r="E311" s="6" t="s">
        <v>21</v>
      </c>
      <c r="F311" s="10">
        <v>2</v>
      </c>
      <c r="G311" s="10">
        <v>190</v>
      </c>
      <c r="H311" s="10">
        <f t="shared" si="5"/>
        <v>380</v>
      </c>
    </row>
    <row r="312" spans="1:8" x14ac:dyDescent="0.3">
      <c r="A312" s="4">
        <v>311</v>
      </c>
      <c r="B312" s="5">
        <v>44507</v>
      </c>
      <c r="C312" s="6" t="s">
        <v>11</v>
      </c>
      <c r="D312" s="6" t="s">
        <v>22</v>
      </c>
      <c r="E312" s="6" t="s">
        <v>21</v>
      </c>
      <c r="F312" s="10">
        <v>2</v>
      </c>
      <c r="G312" s="10">
        <v>190</v>
      </c>
      <c r="H312" s="10">
        <f t="shared" si="5"/>
        <v>380</v>
      </c>
    </row>
    <row r="313" spans="1:8" x14ac:dyDescent="0.3">
      <c r="A313" s="4">
        <v>312</v>
      </c>
      <c r="B313" s="5">
        <v>44508</v>
      </c>
      <c r="C313" s="6" t="s">
        <v>11</v>
      </c>
      <c r="D313" s="6" t="s">
        <v>23</v>
      </c>
      <c r="E313" s="6" t="s">
        <v>21</v>
      </c>
      <c r="F313" s="10">
        <v>2</v>
      </c>
      <c r="G313" s="10">
        <v>190</v>
      </c>
      <c r="H313" s="10">
        <f t="shared" si="5"/>
        <v>380</v>
      </c>
    </row>
    <row r="314" spans="1:8" x14ac:dyDescent="0.3">
      <c r="A314" s="4">
        <v>313</v>
      </c>
      <c r="B314" s="5">
        <v>44509</v>
      </c>
      <c r="C314" s="6" t="s">
        <v>14</v>
      </c>
      <c r="D314" s="6" t="s">
        <v>23</v>
      </c>
      <c r="E314" s="6" t="s">
        <v>21</v>
      </c>
      <c r="F314" s="10">
        <v>2</v>
      </c>
      <c r="G314" s="10">
        <v>190</v>
      </c>
      <c r="H314" s="10">
        <f t="shared" si="5"/>
        <v>380</v>
      </c>
    </row>
    <row r="315" spans="1:8" x14ac:dyDescent="0.3">
      <c r="A315" s="4">
        <v>314</v>
      </c>
      <c r="B315" s="5">
        <v>44510</v>
      </c>
      <c r="C315" s="6" t="s">
        <v>16</v>
      </c>
      <c r="D315" s="6" t="s">
        <v>23</v>
      </c>
      <c r="E315" s="6" t="s">
        <v>21</v>
      </c>
      <c r="F315" s="10">
        <v>2</v>
      </c>
      <c r="G315" s="10">
        <v>190</v>
      </c>
      <c r="H315" s="10">
        <f t="shared" si="5"/>
        <v>380</v>
      </c>
    </row>
    <row r="316" spans="1:8" x14ac:dyDescent="0.3">
      <c r="A316" s="4">
        <v>315</v>
      </c>
      <c r="B316" s="5">
        <v>44511</v>
      </c>
      <c r="C316" s="6" t="s">
        <v>18</v>
      </c>
      <c r="D316" s="6" t="s">
        <v>23</v>
      </c>
      <c r="E316" s="6" t="s">
        <v>21</v>
      </c>
      <c r="F316" s="10">
        <v>2</v>
      </c>
      <c r="G316" s="10">
        <v>190</v>
      </c>
      <c r="H316" s="10">
        <f t="shared" si="5"/>
        <v>380</v>
      </c>
    </row>
    <row r="317" spans="1:8" x14ac:dyDescent="0.3">
      <c r="A317" s="4">
        <v>316</v>
      </c>
      <c r="B317" s="5">
        <v>44512</v>
      </c>
      <c r="C317" s="6" t="s">
        <v>20</v>
      </c>
      <c r="D317" s="6" t="s">
        <v>23</v>
      </c>
      <c r="E317" s="6" t="s">
        <v>21</v>
      </c>
      <c r="F317" s="10">
        <v>2</v>
      </c>
      <c r="G317" s="10">
        <v>190</v>
      </c>
      <c r="H317" s="10">
        <f t="shared" si="5"/>
        <v>380</v>
      </c>
    </row>
    <row r="318" spans="1:8" x14ac:dyDescent="0.3">
      <c r="A318" s="4">
        <v>317</v>
      </c>
      <c r="B318" s="5">
        <v>44513</v>
      </c>
      <c r="C318" s="6" t="s">
        <v>20</v>
      </c>
      <c r="D318" s="6" t="s">
        <v>9</v>
      </c>
      <c r="E318" s="6" t="s">
        <v>21</v>
      </c>
      <c r="F318" s="10">
        <v>2</v>
      </c>
      <c r="G318" s="10">
        <v>190</v>
      </c>
      <c r="H318" s="10">
        <f t="shared" si="5"/>
        <v>380</v>
      </c>
    </row>
    <row r="319" spans="1:8" x14ac:dyDescent="0.3">
      <c r="A319" s="4">
        <v>318</v>
      </c>
      <c r="B319" s="5">
        <v>44514</v>
      </c>
      <c r="C319" s="6" t="s">
        <v>20</v>
      </c>
      <c r="D319" s="6" t="s">
        <v>12</v>
      </c>
      <c r="E319" s="6" t="s">
        <v>21</v>
      </c>
      <c r="F319" s="10">
        <v>3</v>
      </c>
      <c r="G319" s="10">
        <v>190</v>
      </c>
      <c r="H319" s="10">
        <f t="shared" si="5"/>
        <v>570</v>
      </c>
    </row>
    <row r="320" spans="1:8" x14ac:dyDescent="0.3">
      <c r="A320" s="4">
        <v>319</v>
      </c>
      <c r="B320" s="5">
        <v>44515</v>
      </c>
      <c r="C320" s="6" t="s">
        <v>20</v>
      </c>
      <c r="D320" s="6" t="s">
        <v>22</v>
      </c>
      <c r="E320" s="6" t="s">
        <v>10</v>
      </c>
      <c r="F320" s="10">
        <v>2</v>
      </c>
      <c r="G320" s="10">
        <v>210</v>
      </c>
      <c r="H320" s="10">
        <f t="shared" si="5"/>
        <v>420</v>
      </c>
    </row>
    <row r="321" spans="1:8" x14ac:dyDescent="0.3">
      <c r="A321" s="4">
        <v>320</v>
      </c>
      <c r="B321" s="5">
        <v>44516</v>
      </c>
      <c r="C321" s="6" t="s">
        <v>20</v>
      </c>
      <c r="D321" s="6" t="s">
        <v>23</v>
      </c>
      <c r="E321" s="6" t="s">
        <v>10</v>
      </c>
      <c r="F321" s="10">
        <v>2</v>
      </c>
      <c r="G321" s="10">
        <v>210</v>
      </c>
      <c r="H321" s="10">
        <f t="shared" si="5"/>
        <v>420</v>
      </c>
    </row>
    <row r="322" spans="1:8" x14ac:dyDescent="0.3">
      <c r="A322" s="4">
        <v>321</v>
      </c>
      <c r="B322" s="5">
        <v>44517</v>
      </c>
      <c r="C322" s="6" t="s">
        <v>20</v>
      </c>
      <c r="D322" s="6" t="s">
        <v>9</v>
      </c>
      <c r="E322" s="6" t="s">
        <v>10</v>
      </c>
      <c r="F322" s="10">
        <v>2</v>
      </c>
      <c r="G322" s="10">
        <v>210</v>
      </c>
      <c r="H322" s="10">
        <f t="shared" si="5"/>
        <v>420</v>
      </c>
    </row>
    <row r="323" spans="1:8" x14ac:dyDescent="0.3">
      <c r="A323" s="4">
        <v>322</v>
      </c>
      <c r="B323" s="5">
        <v>44518</v>
      </c>
      <c r="C323" s="6" t="s">
        <v>20</v>
      </c>
      <c r="D323" s="6" t="s">
        <v>12</v>
      </c>
      <c r="E323" s="6" t="s">
        <v>10</v>
      </c>
      <c r="F323" s="10">
        <v>2</v>
      </c>
      <c r="G323" s="10">
        <v>210</v>
      </c>
      <c r="H323" s="10">
        <f t="shared" ref="H323:H367" si="6">F323*G323</f>
        <v>420</v>
      </c>
    </row>
    <row r="324" spans="1:8" x14ac:dyDescent="0.3">
      <c r="A324" s="4">
        <v>323</v>
      </c>
      <c r="B324" s="5">
        <v>44519</v>
      </c>
      <c r="C324" s="6" t="s">
        <v>20</v>
      </c>
      <c r="D324" s="6" t="s">
        <v>22</v>
      </c>
      <c r="E324" s="6" t="s">
        <v>10</v>
      </c>
      <c r="F324" s="10">
        <v>2</v>
      </c>
      <c r="G324" s="10">
        <v>210</v>
      </c>
      <c r="H324" s="10">
        <f t="shared" si="6"/>
        <v>420</v>
      </c>
    </row>
    <row r="325" spans="1:8" x14ac:dyDescent="0.3">
      <c r="A325" s="4">
        <v>324</v>
      </c>
      <c r="B325" s="5">
        <v>44520</v>
      </c>
      <c r="C325" s="6" t="s">
        <v>20</v>
      </c>
      <c r="D325" s="6" t="s">
        <v>23</v>
      </c>
      <c r="E325" s="6" t="s">
        <v>10</v>
      </c>
      <c r="F325" s="10">
        <v>2</v>
      </c>
      <c r="G325" s="10">
        <v>210</v>
      </c>
      <c r="H325" s="10">
        <f t="shared" si="6"/>
        <v>420</v>
      </c>
    </row>
    <row r="326" spans="1:8" x14ac:dyDescent="0.3">
      <c r="A326" s="4">
        <v>325</v>
      </c>
      <c r="B326" s="5">
        <v>44521</v>
      </c>
      <c r="C326" s="6" t="s">
        <v>8</v>
      </c>
      <c r="D326" s="6" t="s">
        <v>9</v>
      </c>
      <c r="E326" s="6" t="s">
        <v>10</v>
      </c>
      <c r="F326" s="10">
        <v>2</v>
      </c>
      <c r="G326" s="10">
        <v>210</v>
      </c>
      <c r="H326" s="10">
        <f t="shared" si="6"/>
        <v>420</v>
      </c>
    </row>
    <row r="327" spans="1:8" x14ac:dyDescent="0.3">
      <c r="A327" s="4">
        <v>326</v>
      </c>
      <c r="B327" s="5">
        <v>44522</v>
      </c>
      <c r="C327" s="6" t="s">
        <v>11</v>
      </c>
      <c r="D327" s="6" t="s">
        <v>12</v>
      </c>
      <c r="E327" s="6" t="s">
        <v>10</v>
      </c>
      <c r="F327" s="10">
        <v>2</v>
      </c>
      <c r="G327" s="10">
        <v>210</v>
      </c>
      <c r="H327" s="10">
        <f t="shared" si="6"/>
        <v>420</v>
      </c>
    </row>
    <row r="328" spans="1:8" x14ac:dyDescent="0.3">
      <c r="A328" s="4">
        <v>327</v>
      </c>
      <c r="B328" s="5">
        <v>44523</v>
      </c>
      <c r="C328" s="6" t="s">
        <v>14</v>
      </c>
      <c r="D328" s="6" t="s">
        <v>9</v>
      </c>
      <c r="E328" s="6" t="s">
        <v>10</v>
      </c>
      <c r="F328" s="10">
        <v>2</v>
      </c>
      <c r="G328" s="10">
        <v>210</v>
      </c>
      <c r="H328" s="10">
        <f t="shared" si="6"/>
        <v>420</v>
      </c>
    </row>
    <row r="329" spans="1:8" x14ac:dyDescent="0.3">
      <c r="A329" s="4">
        <v>328</v>
      </c>
      <c r="B329" s="5">
        <v>44524</v>
      </c>
      <c r="C329" s="6" t="s">
        <v>16</v>
      </c>
      <c r="D329" s="6" t="s">
        <v>12</v>
      </c>
      <c r="E329" s="6" t="s">
        <v>10</v>
      </c>
      <c r="F329" s="10">
        <v>2</v>
      </c>
      <c r="G329" s="10">
        <v>210</v>
      </c>
      <c r="H329" s="10">
        <f t="shared" si="6"/>
        <v>420</v>
      </c>
    </row>
    <row r="330" spans="1:8" x14ac:dyDescent="0.3">
      <c r="A330" s="4">
        <v>329</v>
      </c>
      <c r="B330" s="5">
        <v>44525</v>
      </c>
      <c r="C330" s="6" t="s">
        <v>18</v>
      </c>
      <c r="D330" s="6" t="s">
        <v>9</v>
      </c>
      <c r="E330" s="6" t="s">
        <v>10</v>
      </c>
      <c r="F330" s="10">
        <v>2</v>
      </c>
      <c r="G330" s="10">
        <v>210</v>
      </c>
      <c r="H330" s="10">
        <f t="shared" si="6"/>
        <v>420</v>
      </c>
    </row>
    <row r="331" spans="1:8" x14ac:dyDescent="0.3">
      <c r="A331" s="4">
        <v>330</v>
      </c>
      <c r="B331" s="5">
        <v>44526</v>
      </c>
      <c r="C331" s="6" t="s">
        <v>20</v>
      </c>
      <c r="D331" s="6" t="s">
        <v>9</v>
      </c>
      <c r="E331" s="6" t="s">
        <v>10</v>
      </c>
      <c r="F331" s="10">
        <v>2</v>
      </c>
      <c r="G331" s="10">
        <v>210</v>
      </c>
      <c r="H331" s="10">
        <f t="shared" si="6"/>
        <v>420</v>
      </c>
    </row>
    <row r="332" spans="1:8" x14ac:dyDescent="0.3">
      <c r="A332" s="4">
        <v>331</v>
      </c>
      <c r="B332" s="5">
        <v>44527</v>
      </c>
      <c r="C332" s="6" t="s">
        <v>8</v>
      </c>
      <c r="D332" s="6" t="s">
        <v>9</v>
      </c>
      <c r="E332" s="6" t="s">
        <v>21</v>
      </c>
      <c r="F332" s="10">
        <v>2</v>
      </c>
      <c r="G332" s="10">
        <v>190</v>
      </c>
      <c r="H332" s="10">
        <f t="shared" si="6"/>
        <v>380</v>
      </c>
    </row>
    <row r="333" spans="1:8" x14ac:dyDescent="0.3">
      <c r="A333" s="4">
        <v>332</v>
      </c>
      <c r="B333" s="5">
        <v>44528</v>
      </c>
      <c r="C333" s="6" t="s">
        <v>11</v>
      </c>
      <c r="D333" s="6" t="s">
        <v>12</v>
      </c>
      <c r="E333" s="6" t="s">
        <v>10</v>
      </c>
      <c r="F333" s="10">
        <v>7</v>
      </c>
      <c r="G333" s="10">
        <v>210</v>
      </c>
      <c r="H333" s="10">
        <f t="shared" si="6"/>
        <v>1470</v>
      </c>
    </row>
    <row r="334" spans="1:8" x14ac:dyDescent="0.3">
      <c r="A334" s="4">
        <v>333</v>
      </c>
      <c r="B334" s="5">
        <v>44529</v>
      </c>
      <c r="C334" s="6" t="s">
        <v>14</v>
      </c>
      <c r="D334" s="6" t="s">
        <v>12</v>
      </c>
      <c r="E334" s="6" t="s">
        <v>13</v>
      </c>
      <c r="F334" s="10">
        <v>6</v>
      </c>
      <c r="G334" s="10">
        <v>2100</v>
      </c>
      <c r="H334" s="10">
        <f t="shared" si="6"/>
        <v>12600</v>
      </c>
    </row>
    <row r="335" spans="1:8" x14ac:dyDescent="0.3">
      <c r="A335" s="4">
        <v>334</v>
      </c>
      <c r="B335" s="5">
        <v>44530</v>
      </c>
      <c r="C335" s="6" t="s">
        <v>16</v>
      </c>
      <c r="D335" s="6" t="s">
        <v>9</v>
      </c>
      <c r="E335" s="6" t="s">
        <v>15</v>
      </c>
      <c r="F335" s="10">
        <v>5</v>
      </c>
      <c r="G335" s="10">
        <v>1200</v>
      </c>
      <c r="H335" s="10">
        <f t="shared" si="6"/>
        <v>6000</v>
      </c>
    </row>
    <row r="336" spans="1:8" x14ac:dyDescent="0.3">
      <c r="A336" s="4">
        <v>335</v>
      </c>
      <c r="B336" s="5">
        <v>44531</v>
      </c>
      <c r="C336" s="6" t="s">
        <v>18</v>
      </c>
      <c r="D336" s="6" t="s">
        <v>9</v>
      </c>
      <c r="E336" s="6" t="s">
        <v>17</v>
      </c>
      <c r="F336" s="10">
        <v>4</v>
      </c>
      <c r="G336" s="10">
        <v>1500</v>
      </c>
      <c r="H336" s="10">
        <f t="shared" si="6"/>
        <v>6000</v>
      </c>
    </row>
    <row r="337" spans="1:8" x14ac:dyDescent="0.3">
      <c r="A337" s="4">
        <v>336</v>
      </c>
      <c r="B337" s="5">
        <v>44532</v>
      </c>
      <c r="C337" s="6" t="s">
        <v>20</v>
      </c>
      <c r="D337" s="6" t="s">
        <v>12</v>
      </c>
      <c r="E337" s="6" t="s">
        <v>17</v>
      </c>
      <c r="F337" s="10">
        <v>4</v>
      </c>
      <c r="G337" s="10">
        <v>1500</v>
      </c>
      <c r="H337" s="10">
        <f t="shared" si="6"/>
        <v>6000</v>
      </c>
    </row>
    <row r="338" spans="1:8" x14ac:dyDescent="0.3">
      <c r="A338" s="4">
        <v>337</v>
      </c>
      <c r="B338" s="5">
        <v>44533</v>
      </c>
      <c r="C338" s="6" t="s">
        <v>20</v>
      </c>
      <c r="D338" s="6" t="s">
        <v>9</v>
      </c>
      <c r="E338" s="6" t="s">
        <v>17</v>
      </c>
      <c r="F338" s="10">
        <v>4</v>
      </c>
      <c r="G338" s="10">
        <v>1500</v>
      </c>
      <c r="H338" s="10">
        <f t="shared" si="6"/>
        <v>6000</v>
      </c>
    </row>
    <row r="339" spans="1:8" x14ac:dyDescent="0.3">
      <c r="A339" s="4">
        <v>338</v>
      </c>
      <c r="B339" s="5">
        <v>44534</v>
      </c>
      <c r="C339" s="6" t="s">
        <v>8</v>
      </c>
      <c r="D339" s="6" t="s">
        <v>9</v>
      </c>
      <c r="E339" s="6" t="s">
        <v>17</v>
      </c>
      <c r="F339" s="10">
        <v>4</v>
      </c>
      <c r="G339" s="10">
        <v>1500</v>
      </c>
      <c r="H339" s="10">
        <f t="shared" si="6"/>
        <v>6000</v>
      </c>
    </row>
    <row r="340" spans="1:8" x14ac:dyDescent="0.3">
      <c r="A340" s="4">
        <v>339</v>
      </c>
      <c r="B340" s="5">
        <v>44535</v>
      </c>
      <c r="C340" s="6" t="s">
        <v>11</v>
      </c>
      <c r="D340" s="6" t="s">
        <v>9</v>
      </c>
      <c r="E340" s="6" t="s">
        <v>17</v>
      </c>
      <c r="F340" s="10">
        <v>4</v>
      </c>
      <c r="G340" s="10">
        <v>1500</v>
      </c>
      <c r="H340" s="10">
        <f t="shared" si="6"/>
        <v>6000</v>
      </c>
    </row>
    <row r="341" spans="1:8" x14ac:dyDescent="0.3">
      <c r="A341" s="4">
        <v>340</v>
      </c>
      <c r="B341" s="5">
        <v>44536</v>
      </c>
      <c r="C341" s="6" t="s">
        <v>14</v>
      </c>
      <c r="D341" s="6" t="s">
        <v>9</v>
      </c>
      <c r="E341" s="6" t="s">
        <v>17</v>
      </c>
      <c r="F341" s="10">
        <v>4</v>
      </c>
      <c r="G341" s="10">
        <v>1500</v>
      </c>
      <c r="H341" s="10">
        <f t="shared" si="6"/>
        <v>6000</v>
      </c>
    </row>
    <row r="342" spans="1:8" x14ac:dyDescent="0.3">
      <c r="A342" s="4">
        <v>341</v>
      </c>
      <c r="B342" s="5">
        <v>44537</v>
      </c>
      <c r="C342" s="6" t="s">
        <v>16</v>
      </c>
      <c r="D342" s="6" t="s">
        <v>9</v>
      </c>
      <c r="E342" s="6" t="s">
        <v>17</v>
      </c>
      <c r="F342" s="10">
        <v>4</v>
      </c>
      <c r="G342" s="10">
        <v>1500</v>
      </c>
      <c r="H342" s="10">
        <f t="shared" si="6"/>
        <v>6000</v>
      </c>
    </row>
    <row r="343" spans="1:8" x14ac:dyDescent="0.3">
      <c r="A343" s="4">
        <v>342</v>
      </c>
      <c r="B343" s="5">
        <v>44538</v>
      </c>
      <c r="C343" s="6" t="s">
        <v>18</v>
      </c>
      <c r="D343" s="6" t="s">
        <v>9</v>
      </c>
      <c r="E343" s="6" t="s">
        <v>17</v>
      </c>
      <c r="F343" s="10">
        <v>4</v>
      </c>
      <c r="G343" s="10">
        <v>1500</v>
      </c>
      <c r="H343" s="10">
        <f t="shared" si="6"/>
        <v>6000</v>
      </c>
    </row>
    <row r="344" spans="1:8" x14ac:dyDescent="0.3">
      <c r="A344" s="4">
        <v>343</v>
      </c>
      <c r="B344" s="5">
        <v>44539</v>
      </c>
      <c r="C344" s="6" t="s">
        <v>20</v>
      </c>
      <c r="D344" s="6" t="s">
        <v>9</v>
      </c>
      <c r="E344" s="6" t="s">
        <v>17</v>
      </c>
      <c r="F344" s="10">
        <v>4</v>
      </c>
      <c r="G344" s="10">
        <v>1500</v>
      </c>
      <c r="H344" s="10">
        <f t="shared" si="6"/>
        <v>6000</v>
      </c>
    </row>
    <row r="345" spans="1:8" x14ac:dyDescent="0.3">
      <c r="A345" s="4">
        <v>344</v>
      </c>
      <c r="B345" s="5">
        <v>44540</v>
      </c>
      <c r="C345" s="6" t="s">
        <v>8</v>
      </c>
      <c r="D345" s="6" t="s">
        <v>9</v>
      </c>
      <c r="E345" s="6" t="s">
        <v>10</v>
      </c>
      <c r="F345" s="10">
        <v>2</v>
      </c>
      <c r="G345" s="10">
        <v>210</v>
      </c>
      <c r="H345" s="10">
        <f t="shared" si="6"/>
        <v>420</v>
      </c>
    </row>
    <row r="346" spans="1:8" x14ac:dyDescent="0.3">
      <c r="A346" s="4">
        <v>345</v>
      </c>
      <c r="B346" s="5">
        <v>44541</v>
      </c>
      <c r="C346" s="6" t="s">
        <v>11</v>
      </c>
      <c r="D346" s="6" t="s">
        <v>12</v>
      </c>
      <c r="E346" s="6" t="s">
        <v>15</v>
      </c>
      <c r="F346" s="10">
        <v>7</v>
      </c>
      <c r="G346" s="10">
        <v>2100</v>
      </c>
      <c r="H346" s="10">
        <f t="shared" si="6"/>
        <v>14700</v>
      </c>
    </row>
    <row r="347" spans="1:8" x14ac:dyDescent="0.3">
      <c r="A347" s="4">
        <v>346</v>
      </c>
      <c r="B347" s="5">
        <v>44542</v>
      </c>
      <c r="C347" s="6" t="s">
        <v>14</v>
      </c>
      <c r="D347" s="6" t="s">
        <v>9</v>
      </c>
      <c r="E347" s="6" t="s">
        <v>17</v>
      </c>
      <c r="F347" s="10">
        <v>6</v>
      </c>
      <c r="G347" s="10">
        <v>1200</v>
      </c>
      <c r="H347" s="10">
        <f t="shared" si="6"/>
        <v>7200</v>
      </c>
    </row>
    <row r="348" spans="1:8" x14ac:dyDescent="0.3">
      <c r="A348" s="4">
        <v>347</v>
      </c>
      <c r="B348" s="5">
        <v>44543</v>
      </c>
      <c r="C348" s="6" t="s">
        <v>16</v>
      </c>
      <c r="D348" s="6" t="s">
        <v>12</v>
      </c>
      <c r="E348" s="6" t="s">
        <v>19</v>
      </c>
      <c r="F348" s="10">
        <v>5</v>
      </c>
      <c r="G348" s="10">
        <v>300</v>
      </c>
      <c r="H348" s="10">
        <f t="shared" si="6"/>
        <v>1500</v>
      </c>
    </row>
    <row r="349" spans="1:8" x14ac:dyDescent="0.3">
      <c r="A349" s="4">
        <v>348</v>
      </c>
      <c r="B349" s="5">
        <v>44544</v>
      </c>
      <c r="C349" s="6" t="s">
        <v>18</v>
      </c>
      <c r="D349" s="6" t="s">
        <v>9</v>
      </c>
      <c r="E349" s="6" t="s">
        <v>21</v>
      </c>
      <c r="F349" s="10">
        <v>4</v>
      </c>
      <c r="G349" s="10">
        <v>200</v>
      </c>
      <c r="H349" s="10">
        <f t="shared" si="6"/>
        <v>800</v>
      </c>
    </row>
    <row r="350" spans="1:8" x14ac:dyDescent="0.3">
      <c r="A350" s="4">
        <v>349</v>
      </c>
      <c r="B350" s="5">
        <v>44545</v>
      </c>
      <c r="C350" s="6" t="s">
        <v>20</v>
      </c>
      <c r="D350" s="6" t="s">
        <v>9</v>
      </c>
      <c r="E350" s="6" t="s">
        <v>10</v>
      </c>
      <c r="F350" s="10">
        <v>3</v>
      </c>
      <c r="G350" s="10">
        <v>190</v>
      </c>
      <c r="H350" s="10">
        <f t="shared" si="6"/>
        <v>570</v>
      </c>
    </row>
    <row r="351" spans="1:8" x14ac:dyDescent="0.3">
      <c r="A351" s="4">
        <v>350</v>
      </c>
      <c r="B351" s="5">
        <v>44546</v>
      </c>
      <c r="C351" s="6" t="s">
        <v>20</v>
      </c>
      <c r="D351" s="6" t="s">
        <v>9</v>
      </c>
      <c r="E351" s="6" t="s">
        <v>13</v>
      </c>
      <c r="F351" s="10">
        <v>2</v>
      </c>
      <c r="G351" s="10">
        <v>2100</v>
      </c>
      <c r="H351" s="10">
        <f t="shared" si="6"/>
        <v>4200</v>
      </c>
    </row>
    <row r="352" spans="1:8" x14ac:dyDescent="0.3">
      <c r="A352" s="4">
        <v>351</v>
      </c>
      <c r="B352" s="5">
        <v>44547</v>
      </c>
      <c r="C352" s="6" t="s">
        <v>8</v>
      </c>
      <c r="D352" s="6" t="s">
        <v>9</v>
      </c>
      <c r="E352" s="6" t="s">
        <v>10</v>
      </c>
      <c r="F352" s="10">
        <v>7</v>
      </c>
      <c r="G352" s="10">
        <v>210</v>
      </c>
      <c r="H352" s="10">
        <f t="shared" si="6"/>
        <v>1470</v>
      </c>
    </row>
    <row r="353" spans="1:8" x14ac:dyDescent="0.3">
      <c r="A353" s="4">
        <v>352</v>
      </c>
      <c r="B353" s="5">
        <v>44548</v>
      </c>
      <c r="C353" s="6" t="s">
        <v>8</v>
      </c>
      <c r="D353" s="6" t="s">
        <v>12</v>
      </c>
      <c r="E353" s="6" t="s">
        <v>13</v>
      </c>
      <c r="F353" s="10">
        <v>6</v>
      </c>
      <c r="G353" s="10">
        <v>2100</v>
      </c>
      <c r="H353" s="10">
        <f t="shared" si="6"/>
        <v>12600</v>
      </c>
    </row>
    <row r="354" spans="1:8" x14ac:dyDescent="0.3">
      <c r="A354" s="4">
        <v>353</v>
      </c>
      <c r="B354" s="5">
        <v>44549</v>
      </c>
      <c r="C354" s="6" t="s">
        <v>8</v>
      </c>
      <c r="D354" s="6" t="s">
        <v>22</v>
      </c>
      <c r="E354" s="6" t="s">
        <v>15</v>
      </c>
      <c r="F354" s="10">
        <v>5</v>
      </c>
      <c r="G354" s="10">
        <v>1200</v>
      </c>
      <c r="H354" s="10">
        <f t="shared" si="6"/>
        <v>6000</v>
      </c>
    </row>
    <row r="355" spans="1:8" x14ac:dyDescent="0.3">
      <c r="A355" s="4">
        <v>354</v>
      </c>
      <c r="B355" s="5">
        <v>44550</v>
      </c>
      <c r="C355" s="6" t="s">
        <v>8</v>
      </c>
      <c r="D355" s="6" t="s">
        <v>23</v>
      </c>
      <c r="E355" s="6" t="s">
        <v>17</v>
      </c>
      <c r="F355" s="10">
        <v>4</v>
      </c>
      <c r="G355" s="10">
        <v>1500</v>
      </c>
      <c r="H355" s="10">
        <f t="shared" si="6"/>
        <v>6000</v>
      </c>
    </row>
    <row r="356" spans="1:8" x14ac:dyDescent="0.3">
      <c r="A356" s="4">
        <v>355</v>
      </c>
      <c r="B356" s="5">
        <v>44551</v>
      </c>
      <c r="C356" s="6" t="s">
        <v>8</v>
      </c>
      <c r="D356" s="6" t="s">
        <v>9</v>
      </c>
      <c r="E356" s="6" t="s">
        <v>19</v>
      </c>
      <c r="F356" s="10">
        <v>3</v>
      </c>
      <c r="G356" s="10">
        <v>300</v>
      </c>
      <c r="H356" s="10">
        <f t="shared" si="6"/>
        <v>900</v>
      </c>
    </row>
    <row r="357" spans="1:8" x14ac:dyDescent="0.3">
      <c r="A357" s="4">
        <v>356</v>
      </c>
      <c r="B357" s="5">
        <v>44552</v>
      </c>
      <c r="C357" s="6" t="s">
        <v>8</v>
      </c>
      <c r="D357" s="6" t="s">
        <v>12</v>
      </c>
      <c r="E357" s="6" t="s">
        <v>21</v>
      </c>
      <c r="F357" s="10">
        <v>2</v>
      </c>
      <c r="G357" s="10">
        <v>190</v>
      </c>
      <c r="H357" s="10">
        <f t="shared" si="6"/>
        <v>380</v>
      </c>
    </row>
    <row r="358" spans="1:8" x14ac:dyDescent="0.3">
      <c r="A358" s="4">
        <v>357</v>
      </c>
      <c r="B358" s="5">
        <v>44553</v>
      </c>
      <c r="C358" s="6" t="s">
        <v>8</v>
      </c>
      <c r="D358" s="6" t="s">
        <v>22</v>
      </c>
      <c r="E358" s="6" t="s">
        <v>10</v>
      </c>
      <c r="F358" s="10">
        <v>7</v>
      </c>
      <c r="G358" s="10">
        <v>210</v>
      </c>
      <c r="H358" s="10">
        <f t="shared" si="6"/>
        <v>1470</v>
      </c>
    </row>
    <row r="359" spans="1:8" x14ac:dyDescent="0.3">
      <c r="A359" s="4">
        <v>358</v>
      </c>
      <c r="B359" s="5">
        <v>44554</v>
      </c>
      <c r="C359" s="6" t="s">
        <v>8</v>
      </c>
      <c r="D359" s="6" t="s">
        <v>23</v>
      </c>
      <c r="E359" s="6" t="s">
        <v>13</v>
      </c>
      <c r="F359" s="10">
        <v>6</v>
      </c>
      <c r="G359" s="10">
        <v>2100</v>
      </c>
      <c r="H359" s="10">
        <f t="shared" si="6"/>
        <v>12600</v>
      </c>
    </row>
    <row r="360" spans="1:8" x14ac:dyDescent="0.3">
      <c r="A360" s="4">
        <v>359</v>
      </c>
      <c r="B360" s="5">
        <v>44555</v>
      </c>
      <c r="C360" s="6" t="s">
        <v>11</v>
      </c>
      <c r="D360" s="6" t="s">
        <v>12</v>
      </c>
      <c r="E360" s="6" t="s">
        <v>13</v>
      </c>
      <c r="F360" s="10">
        <v>6</v>
      </c>
      <c r="G360" s="10">
        <v>2100</v>
      </c>
      <c r="H360" s="10">
        <f t="shared" si="6"/>
        <v>12600</v>
      </c>
    </row>
    <row r="361" spans="1:8" x14ac:dyDescent="0.3">
      <c r="A361" s="4">
        <v>360</v>
      </c>
      <c r="B361" s="5">
        <v>44556</v>
      </c>
      <c r="C361" s="6" t="s">
        <v>11</v>
      </c>
      <c r="D361" s="6" t="s">
        <v>9</v>
      </c>
      <c r="E361" s="6" t="s">
        <v>13</v>
      </c>
      <c r="F361" s="10">
        <v>6</v>
      </c>
      <c r="G361" s="10">
        <v>2100</v>
      </c>
      <c r="H361" s="10">
        <f t="shared" si="6"/>
        <v>12600</v>
      </c>
    </row>
    <row r="362" spans="1:8" x14ac:dyDescent="0.3">
      <c r="A362" s="4">
        <v>361</v>
      </c>
      <c r="B362" s="5">
        <v>44557</v>
      </c>
      <c r="C362" s="6" t="s">
        <v>11</v>
      </c>
      <c r="D362" s="6" t="s">
        <v>22</v>
      </c>
      <c r="E362" s="6" t="s">
        <v>13</v>
      </c>
      <c r="F362" s="10">
        <v>6</v>
      </c>
      <c r="G362" s="10">
        <v>2100</v>
      </c>
      <c r="H362" s="10">
        <f t="shared" si="6"/>
        <v>12600</v>
      </c>
    </row>
    <row r="363" spans="1:8" x14ac:dyDescent="0.3">
      <c r="A363" s="4">
        <v>362</v>
      </c>
      <c r="B363" s="5">
        <v>44558</v>
      </c>
      <c r="C363" s="6" t="s">
        <v>11</v>
      </c>
      <c r="D363" s="6" t="s">
        <v>23</v>
      </c>
      <c r="E363" s="6" t="s">
        <v>13</v>
      </c>
      <c r="F363" s="10">
        <v>6</v>
      </c>
      <c r="G363" s="10">
        <v>2100</v>
      </c>
      <c r="H363" s="10">
        <f t="shared" si="6"/>
        <v>12600</v>
      </c>
    </row>
    <row r="364" spans="1:8" x14ac:dyDescent="0.3">
      <c r="A364" s="4">
        <v>363</v>
      </c>
      <c r="B364" s="5">
        <v>44559</v>
      </c>
      <c r="C364" s="6" t="s">
        <v>11</v>
      </c>
      <c r="D364" s="6" t="s">
        <v>12</v>
      </c>
      <c r="E364" s="6" t="s">
        <v>13</v>
      </c>
      <c r="F364" s="10">
        <v>6</v>
      </c>
      <c r="G364" s="10">
        <v>2100</v>
      </c>
      <c r="H364" s="10">
        <f t="shared" si="6"/>
        <v>12600</v>
      </c>
    </row>
    <row r="365" spans="1:8" x14ac:dyDescent="0.3">
      <c r="A365" s="4">
        <v>364</v>
      </c>
      <c r="B365" s="5">
        <v>44560</v>
      </c>
      <c r="C365" s="6" t="s">
        <v>11</v>
      </c>
      <c r="D365" s="6" t="s">
        <v>9</v>
      </c>
      <c r="E365" s="6" t="s">
        <v>13</v>
      </c>
      <c r="F365" s="10">
        <v>6</v>
      </c>
      <c r="G365" s="10">
        <v>2100</v>
      </c>
      <c r="H365" s="10">
        <f t="shared" si="6"/>
        <v>12600</v>
      </c>
    </row>
    <row r="366" spans="1:8" x14ac:dyDescent="0.3">
      <c r="A366" s="4">
        <v>365</v>
      </c>
      <c r="B366" s="5">
        <v>44561</v>
      </c>
      <c r="C366" s="6" t="s">
        <v>11</v>
      </c>
      <c r="D366" s="6" t="s">
        <v>22</v>
      </c>
      <c r="E366" s="6" t="s">
        <v>15</v>
      </c>
      <c r="F366" s="10">
        <v>6</v>
      </c>
      <c r="G366" s="10">
        <v>1200</v>
      </c>
      <c r="H366" s="10">
        <f t="shared" si="6"/>
        <v>7200</v>
      </c>
    </row>
    <row r="367" spans="1:8" x14ac:dyDescent="0.3">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75" x14ac:dyDescent="0.3"/>
  <cols>
    <col min="1" max="1" width="11.3984375" bestFit="1" customWidth="1"/>
    <col min="2" max="2" width="13.19921875" bestFit="1" customWidth="1"/>
  </cols>
  <sheetData>
    <row r="2" spans="1:3" x14ac:dyDescent="0.3">
      <c r="A2" s="7" t="s">
        <v>24</v>
      </c>
      <c r="B2" t="s">
        <v>33</v>
      </c>
    </row>
    <row r="3" spans="1:3" x14ac:dyDescent="0.3">
      <c r="A3" s="8" t="s">
        <v>40</v>
      </c>
      <c r="B3">
        <v>143130</v>
      </c>
    </row>
    <row r="4" spans="1:3" x14ac:dyDescent="0.3">
      <c r="A4" s="8" t="s">
        <v>39</v>
      </c>
      <c r="B4">
        <v>224470</v>
      </c>
    </row>
    <row r="5" spans="1:3" x14ac:dyDescent="0.3">
      <c r="A5" s="8" t="s">
        <v>38</v>
      </c>
      <c r="B5">
        <v>86100</v>
      </c>
    </row>
    <row r="6" spans="1:3" x14ac:dyDescent="0.3">
      <c r="A6" s="8" t="s">
        <v>26</v>
      </c>
      <c r="B6">
        <v>153530</v>
      </c>
    </row>
    <row r="7" spans="1:3" x14ac:dyDescent="0.3">
      <c r="A7" s="8" t="s">
        <v>27</v>
      </c>
      <c r="B7">
        <v>110160</v>
      </c>
    </row>
    <row r="8" spans="1:3" x14ac:dyDescent="0.3">
      <c r="A8" s="8" t="s">
        <v>28</v>
      </c>
      <c r="B8">
        <v>118530</v>
      </c>
    </row>
    <row r="9" spans="1:3" x14ac:dyDescent="0.3">
      <c r="A9" s="8" t="s">
        <v>29</v>
      </c>
      <c r="B9">
        <v>130100</v>
      </c>
    </row>
    <row r="10" spans="1:3" x14ac:dyDescent="0.3">
      <c r="A10" s="8" t="s">
        <v>30</v>
      </c>
      <c r="B10">
        <v>156300</v>
      </c>
    </row>
    <row r="11" spans="1:3" x14ac:dyDescent="0.3">
      <c r="A11" s="8" t="s">
        <v>31</v>
      </c>
      <c r="B11">
        <v>223770</v>
      </c>
    </row>
    <row r="12" spans="1:3" x14ac:dyDescent="0.3">
      <c r="A12" s="8" t="s">
        <v>32</v>
      </c>
      <c r="B12">
        <v>197350</v>
      </c>
    </row>
    <row r="13" spans="1:3" x14ac:dyDescent="0.3">
      <c r="A13" s="8" t="s">
        <v>36</v>
      </c>
      <c r="B13">
        <v>31520</v>
      </c>
    </row>
    <row r="14" spans="1:3" x14ac:dyDescent="0.3">
      <c r="A14" s="8" t="s">
        <v>37</v>
      </c>
      <c r="B14">
        <v>207610</v>
      </c>
    </row>
    <row r="15" spans="1:3" x14ac:dyDescent="0.3">
      <c r="A15" s="8" t="s">
        <v>25</v>
      </c>
      <c r="B15">
        <v>1782570</v>
      </c>
      <c r="C15" s="12">
        <f>GETPIVOTDATA("Amount",$A$2)</f>
        <v>1782570</v>
      </c>
    </row>
    <row r="18" spans="1:2" x14ac:dyDescent="0.3">
      <c r="A18" t="s">
        <v>34</v>
      </c>
    </row>
    <row r="19" spans="1:2" x14ac:dyDescent="0.3">
      <c r="A19">
        <v>366</v>
      </c>
      <c r="B19" s="12">
        <f>GETPIVOTDATA("Amount",$A$18)</f>
        <v>366</v>
      </c>
    </row>
    <row r="22" spans="1:2" x14ac:dyDescent="0.3">
      <c r="A22" s="7" t="s">
        <v>24</v>
      </c>
      <c r="B22" t="s">
        <v>33</v>
      </c>
    </row>
    <row r="23" spans="1:2" x14ac:dyDescent="0.3">
      <c r="A23" s="8" t="s">
        <v>40</v>
      </c>
      <c r="B23">
        <v>143130</v>
      </c>
    </row>
    <row r="24" spans="1:2" x14ac:dyDescent="0.3">
      <c r="A24" s="8" t="s">
        <v>39</v>
      </c>
      <c r="B24">
        <v>224470</v>
      </c>
    </row>
    <row r="25" spans="1:2" x14ac:dyDescent="0.3">
      <c r="A25" s="8" t="s">
        <v>38</v>
      </c>
      <c r="B25">
        <v>86100</v>
      </c>
    </row>
    <row r="26" spans="1:2" x14ac:dyDescent="0.3">
      <c r="A26" s="8" t="s">
        <v>26</v>
      </c>
      <c r="B26">
        <v>153530</v>
      </c>
    </row>
    <row r="27" spans="1:2" x14ac:dyDescent="0.3">
      <c r="A27" s="8" t="s">
        <v>27</v>
      </c>
      <c r="B27">
        <v>110160</v>
      </c>
    </row>
    <row r="28" spans="1:2" x14ac:dyDescent="0.3">
      <c r="A28" s="8" t="s">
        <v>28</v>
      </c>
      <c r="B28">
        <v>118530</v>
      </c>
    </row>
    <row r="29" spans="1:2" x14ac:dyDescent="0.3">
      <c r="A29" s="8" t="s">
        <v>29</v>
      </c>
      <c r="B29">
        <v>130100</v>
      </c>
    </row>
    <row r="30" spans="1:2" x14ac:dyDescent="0.3">
      <c r="A30" s="8" t="s">
        <v>30</v>
      </c>
      <c r="B30">
        <v>156300</v>
      </c>
    </row>
    <row r="31" spans="1:2" x14ac:dyDescent="0.3">
      <c r="A31" s="8" t="s">
        <v>31</v>
      </c>
      <c r="B31">
        <v>223770</v>
      </c>
    </row>
    <row r="32" spans="1:2" x14ac:dyDescent="0.3">
      <c r="A32" s="8" t="s">
        <v>32</v>
      </c>
      <c r="B32">
        <v>197350</v>
      </c>
    </row>
    <row r="33" spans="1:2" x14ac:dyDescent="0.3">
      <c r="A33" s="8" t="s">
        <v>36</v>
      </c>
      <c r="B33">
        <v>31520</v>
      </c>
    </row>
    <row r="34" spans="1:2" x14ac:dyDescent="0.3">
      <c r="A34" s="8" t="s">
        <v>37</v>
      </c>
      <c r="B34">
        <v>207610</v>
      </c>
    </row>
    <row r="35" spans="1:2" x14ac:dyDescent="0.3">
      <c r="A35" s="8" t="s">
        <v>25</v>
      </c>
      <c r="B35">
        <v>1782570</v>
      </c>
    </row>
    <row r="40" spans="1:2" x14ac:dyDescent="0.3">
      <c r="A40" s="7" t="s">
        <v>24</v>
      </c>
      <c r="B40" t="s">
        <v>33</v>
      </c>
    </row>
    <row r="41" spans="1:2" x14ac:dyDescent="0.3">
      <c r="A41" s="8" t="s">
        <v>9</v>
      </c>
      <c r="B41">
        <v>736080</v>
      </c>
    </row>
    <row r="42" spans="1:2" x14ac:dyDescent="0.3">
      <c r="A42" s="8" t="s">
        <v>22</v>
      </c>
      <c r="B42">
        <v>203680</v>
      </c>
    </row>
    <row r="43" spans="1:2" x14ac:dyDescent="0.3">
      <c r="A43" s="8" t="s">
        <v>23</v>
      </c>
      <c r="B43">
        <v>335480</v>
      </c>
    </row>
    <row r="44" spans="1:2" x14ac:dyDescent="0.3">
      <c r="A44" s="8" t="s">
        <v>12</v>
      </c>
      <c r="B44">
        <v>507330</v>
      </c>
    </row>
    <row r="45" spans="1:2" x14ac:dyDescent="0.3">
      <c r="A45" s="8" t="s">
        <v>25</v>
      </c>
      <c r="B45">
        <v>1782570</v>
      </c>
    </row>
    <row r="49" spans="1:2" x14ac:dyDescent="0.3">
      <c r="A49" s="7" t="s">
        <v>24</v>
      </c>
      <c r="B49" t="s">
        <v>35</v>
      </c>
    </row>
    <row r="50" spans="1:2" x14ac:dyDescent="0.3">
      <c r="A50" s="8" t="s">
        <v>21</v>
      </c>
      <c r="B50" s="13">
        <v>8.2140634723086497E-2</v>
      </c>
    </row>
    <row r="51" spans="1:2" x14ac:dyDescent="0.3">
      <c r="A51" s="8" t="s">
        <v>15</v>
      </c>
      <c r="B51" s="13">
        <v>0.15619166148102054</v>
      </c>
    </row>
    <row r="52" spans="1:2" x14ac:dyDescent="0.3">
      <c r="A52" s="8" t="s">
        <v>10</v>
      </c>
      <c r="B52" s="13">
        <v>0.1985065339141257</v>
      </c>
    </row>
    <row r="53" spans="1:2" x14ac:dyDescent="0.3">
      <c r="A53" s="8" t="s">
        <v>13</v>
      </c>
      <c r="B53" s="13">
        <v>0.27691350342252646</v>
      </c>
    </row>
    <row r="54" spans="1:2" x14ac:dyDescent="0.3">
      <c r="A54" s="8" t="s">
        <v>17</v>
      </c>
      <c r="B54" s="13">
        <v>0.15059116365899192</v>
      </c>
    </row>
    <row r="55" spans="1:2" x14ac:dyDescent="0.3">
      <c r="A55" s="8" t="s">
        <v>19</v>
      </c>
      <c r="B55" s="13">
        <v>0.13565650280024891</v>
      </c>
    </row>
    <row r="56" spans="1:2" x14ac:dyDescent="0.3">
      <c r="A56" s="8" t="s">
        <v>25</v>
      </c>
      <c r="B56" s="13">
        <v>1</v>
      </c>
    </row>
    <row r="61" spans="1:2" x14ac:dyDescent="0.3">
      <c r="A61" s="7" t="s">
        <v>24</v>
      </c>
      <c r="B61" t="s">
        <v>35</v>
      </c>
    </row>
    <row r="62" spans="1:2" x14ac:dyDescent="0.3">
      <c r="A62" s="8" t="s">
        <v>21</v>
      </c>
      <c r="B62">
        <v>132</v>
      </c>
    </row>
    <row r="63" spans="1:2" x14ac:dyDescent="0.3">
      <c r="A63" s="8" t="s">
        <v>15</v>
      </c>
      <c r="B63">
        <v>251</v>
      </c>
    </row>
    <row r="64" spans="1:2" x14ac:dyDescent="0.3">
      <c r="A64" s="8" t="s">
        <v>10</v>
      </c>
      <c r="B64">
        <v>319</v>
      </c>
    </row>
    <row r="65" spans="1:2" x14ac:dyDescent="0.3">
      <c r="A65" s="8" t="s">
        <v>13</v>
      </c>
      <c r="B65">
        <v>445</v>
      </c>
    </row>
    <row r="66" spans="1:2" x14ac:dyDescent="0.3">
      <c r="A66" s="8" t="s">
        <v>17</v>
      </c>
      <c r="B66">
        <v>242</v>
      </c>
    </row>
    <row r="67" spans="1:2" x14ac:dyDescent="0.3">
      <c r="A67" s="8" t="s">
        <v>19</v>
      </c>
      <c r="B67">
        <v>218</v>
      </c>
    </row>
    <row r="68" spans="1:2" x14ac:dyDescent="0.3">
      <c r="A68" s="8" t="s">
        <v>25</v>
      </c>
      <c r="B68">
        <v>1607</v>
      </c>
    </row>
    <row r="75" spans="1:2" x14ac:dyDescent="0.3">
      <c r="A75" s="7" t="s">
        <v>24</v>
      </c>
      <c r="B75" t="s">
        <v>35</v>
      </c>
    </row>
    <row r="76" spans="1:2" x14ac:dyDescent="0.3">
      <c r="A76" s="8" t="s">
        <v>21</v>
      </c>
      <c r="B76">
        <v>132</v>
      </c>
    </row>
    <row r="77" spans="1:2" x14ac:dyDescent="0.3">
      <c r="A77" s="8" t="s">
        <v>19</v>
      </c>
      <c r="B77">
        <v>218</v>
      </c>
    </row>
    <row r="78" spans="1:2" x14ac:dyDescent="0.3">
      <c r="A78" s="8" t="s">
        <v>17</v>
      </c>
      <c r="B78">
        <v>242</v>
      </c>
    </row>
    <row r="79" spans="1:2" x14ac:dyDescent="0.3">
      <c r="A79" s="8" t="s">
        <v>15</v>
      </c>
      <c r="B79">
        <v>251</v>
      </c>
    </row>
    <row r="80" spans="1:2" x14ac:dyDescent="0.3">
      <c r="A80" s="8" t="s">
        <v>10</v>
      </c>
      <c r="B80">
        <v>319</v>
      </c>
    </row>
    <row r="81" spans="1:2" x14ac:dyDescent="0.3">
      <c r="A81" s="8" t="s">
        <v>13</v>
      </c>
      <c r="B81">
        <v>445</v>
      </c>
    </row>
    <row r="82" spans="1:2" x14ac:dyDescent="0.3">
      <c r="A82" s="8" t="s">
        <v>25</v>
      </c>
      <c r="B82">
        <v>1607</v>
      </c>
    </row>
    <row r="84" spans="1:2" x14ac:dyDescent="0.3">
      <c r="A84" s="7" t="s">
        <v>24</v>
      </c>
      <c r="B84" t="s">
        <v>35</v>
      </c>
    </row>
    <row r="85" spans="1:2" x14ac:dyDescent="0.3">
      <c r="A85" s="8" t="s">
        <v>17</v>
      </c>
      <c r="B85">
        <v>242</v>
      </c>
    </row>
    <row r="86" spans="1:2" x14ac:dyDescent="0.3">
      <c r="A86" s="8" t="s">
        <v>19</v>
      </c>
      <c r="B86">
        <v>218</v>
      </c>
    </row>
    <row r="87" spans="1:2" x14ac:dyDescent="0.3">
      <c r="A87" s="8" t="s">
        <v>21</v>
      </c>
      <c r="B87">
        <v>132</v>
      </c>
    </row>
    <row r="88" spans="1:2" x14ac:dyDescent="0.3">
      <c r="A88" s="8" t="s">
        <v>25</v>
      </c>
      <c r="B88">
        <v>592</v>
      </c>
    </row>
    <row r="92" spans="1:2" x14ac:dyDescent="0.3">
      <c r="A92" s="7" t="s">
        <v>24</v>
      </c>
      <c r="B92" t="s">
        <v>33</v>
      </c>
    </row>
    <row r="93" spans="1:2" x14ac:dyDescent="0.3">
      <c r="A93" s="8" t="s">
        <v>8</v>
      </c>
      <c r="B93">
        <v>386030</v>
      </c>
    </row>
    <row r="94" spans="1:2" x14ac:dyDescent="0.3">
      <c r="A94" s="8" t="s">
        <v>16</v>
      </c>
      <c r="B94">
        <v>184690</v>
      </c>
    </row>
    <row r="95" spans="1:2" x14ac:dyDescent="0.3">
      <c r="A95" s="8" t="s">
        <v>18</v>
      </c>
      <c r="B95">
        <v>125600</v>
      </c>
    </row>
    <row r="96" spans="1:2" x14ac:dyDescent="0.3">
      <c r="A96" s="8" t="s">
        <v>14</v>
      </c>
      <c r="B96">
        <v>139880</v>
      </c>
    </row>
    <row r="97" spans="1:2" x14ac:dyDescent="0.3">
      <c r="A97" s="8" t="s">
        <v>11</v>
      </c>
      <c r="B97">
        <v>394410</v>
      </c>
    </row>
    <row r="98" spans="1:2" x14ac:dyDescent="0.3">
      <c r="A98" s="8" t="s">
        <v>20</v>
      </c>
      <c r="B98">
        <v>551960</v>
      </c>
    </row>
    <row r="99" spans="1:2" x14ac:dyDescent="0.3">
      <c r="A99" s="8" t="s">
        <v>25</v>
      </c>
      <c r="B99">
        <v>1782570</v>
      </c>
    </row>
    <row r="103" spans="1:2" x14ac:dyDescent="0.3">
      <c r="A103" s="7" t="s">
        <v>24</v>
      </c>
      <c r="B103" t="s">
        <v>33</v>
      </c>
    </row>
    <row r="104" spans="1:2" x14ac:dyDescent="0.3">
      <c r="A104" s="8" t="s">
        <v>8</v>
      </c>
      <c r="B104">
        <v>386030</v>
      </c>
    </row>
    <row r="105" spans="1:2" x14ac:dyDescent="0.3">
      <c r="A105" s="8" t="s">
        <v>11</v>
      </c>
      <c r="B105">
        <v>394410</v>
      </c>
    </row>
    <row r="106" spans="1:2" x14ac:dyDescent="0.3">
      <c r="A106" s="8" t="s">
        <v>20</v>
      </c>
      <c r="B106">
        <v>551960</v>
      </c>
    </row>
    <row r="107" spans="1:2" x14ac:dyDescent="0.3">
      <c r="A107" s="8" t="s">
        <v>25</v>
      </c>
      <c r="B107">
        <v>1332400</v>
      </c>
    </row>
    <row r="111" spans="1:2" x14ac:dyDescent="0.3">
      <c r="A111" s="7" t="s">
        <v>24</v>
      </c>
      <c r="B111" t="s">
        <v>33</v>
      </c>
    </row>
    <row r="112" spans="1:2" x14ac:dyDescent="0.3">
      <c r="A112" s="8" t="s">
        <v>16</v>
      </c>
      <c r="B112">
        <v>184690</v>
      </c>
    </row>
    <row r="113" spans="1:2" x14ac:dyDescent="0.3">
      <c r="A113" s="8" t="s">
        <v>14</v>
      </c>
      <c r="B113">
        <v>139880</v>
      </c>
    </row>
    <row r="114" spans="1:2" x14ac:dyDescent="0.3">
      <c r="A114" s="8" t="s">
        <v>18</v>
      </c>
      <c r="B114">
        <v>125600</v>
      </c>
    </row>
    <row r="115" spans="1:2" x14ac:dyDescent="0.3">
      <c r="A115" s="8" t="s">
        <v>25</v>
      </c>
      <c r="B115">
        <v>450170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PRODUCT</vt:lpstr>
      <vt:lpstr>SALE SMAN</vt:lpstr>
      <vt:lpstr>About</vt:lpstr>
      <vt:lpstr>salesman</vt:lpstr>
      <vt:lpstr>Products</vt:lpstr>
      <vt:lpstr>About The Projects</vt:lpstr>
      <vt:lpstr>Detail1</vt:lpstr>
      <vt:lpstr>PIVOT TABLE</vt:lpstr>
      <vt:lpstr>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Hasan Jafar</cp:lastModifiedBy>
  <dcterms:created xsi:type="dcterms:W3CDTF">2021-11-30T04:15:57Z</dcterms:created>
  <dcterms:modified xsi:type="dcterms:W3CDTF">2026-10-16T16:17:49Z</dcterms:modified>
</cp:coreProperties>
</file>